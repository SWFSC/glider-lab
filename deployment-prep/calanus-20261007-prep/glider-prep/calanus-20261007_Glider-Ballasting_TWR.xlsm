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7"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Users\Big Bird\Documents\GitHub\glider-lab\deployment-prep\calanus-20261007-prep\glider-prep\"/>
    </mc:Choice>
  </mc:AlternateContent>
  <bookViews>
    <workbookView xWindow="0" yWindow="0" windowWidth="19200" windowHeight="8300" tabRatio="813"/>
  </bookViews>
  <sheets>
    <sheet name="Ballast" sheetId="1" r:id="rId1"/>
    <sheet name="Worksheet" sheetId="4" r:id="rId2"/>
    <sheet name="Notes" sheetId="22" r:id="rId3"/>
    <sheet name="Constants" sheetId="6" r:id="rId4"/>
    <sheet name="G1" sheetId="15" r:id="rId5"/>
    <sheet name="G2" sheetId="17" r:id="rId6"/>
    <sheet name="G3" sheetId="20" r:id="rId7"/>
    <sheet name="G3 (External Only)" sheetId="21" r:id="rId8"/>
    <sheet name="Revision History" sheetId="14" r:id="rId9"/>
  </sheets>
  <definedNames>
    <definedName name="Advanced">Ballast!$D$35</definedName>
    <definedName name="aft_config" localSheetId="5">Constants!$G$12:$G$16</definedName>
    <definedName name="aft_config" localSheetId="6">Constants!$G$12:$G$16</definedName>
    <definedName name="aft_config" localSheetId="7">Constants!$G$12:$G$16</definedName>
    <definedName name="aft_config">Constants!$E$11:$E$15</definedName>
    <definedName name="battery_type" localSheetId="5">Constants!$F$12:$F$13</definedName>
    <definedName name="battery_type" localSheetId="6">Constants!$F$12:$F$13</definedName>
    <definedName name="battery_type" localSheetId="7">Constants!$F$12:$F$13</definedName>
    <definedName name="battery_type">Constants!$D$11:$D$12</definedName>
    <definedName name="Bays">Constants!$I$106:$I$109</definedName>
    <definedName name="Double_O_Ring" localSheetId="6">Ballast!#REF!</definedName>
    <definedName name="Double_O_Ring" localSheetId="7">Ballast!#REF!</definedName>
    <definedName name="Double_O_Ring">Ballast!#REF!</definedName>
    <definedName name="ES_Shallow__100m">Constants!$F$104</definedName>
    <definedName name="G1_Deep__1000m" localSheetId="7">Constants!#REF!</definedName>
    <definedName name="G1_Deep__1000m">Constants!#REF!</definedName>
    <definedName name="G1_Shallow__200m" localSheetId="7">Constants!#REF!</definedName>
    <definedName name="G1_Shallow__200m">Constants!#REF!</definedName>
    <definedName name="G2_Deep__1000m" localSheetId="3">Constants!#REF!</definedName>
    <definedName name="G2_Deep__1000m">Ballast!$D$29</definedName>
    <definedName name="G2_Shallow____200m" localSheetId="7">Constants!#REF!</definedName>
    <definedName name="G2_Shallow____200m">Constants!#REF!</definedName>
    <definedName name="G3_Deep">Constants!$H$104</definedName>
    <definedName name="G3_Shallow">Constants!$G$104</definedName>
    <definedName name="G3_UHD">Constants!$I$104</definedName>
    <definedName name="glider_type">Constants!$B$11:$B$18</definedName>
    <definedName name="nose_config" localSheetId="5">Constants!$H$12:$H$14</definedName>
    <definedName name="nose_config" localSheetId="6">Constants!$H$12:$H$14</definedName>
    <definedName name="nose_config" localSheetId="7">Constants!$H$12:$H$14</definedName>
    <definedName name="nose_config">Constants!$G$11:$G$14</definedName>
    <definedName name="Pick_Point" localSheetId="3">Ballast!$D$29</definedName>
    <definedName name="Pick_Point" localSheetId="6">Constants!#REF!</definedName>
    <definedName name="Pick_Point" localSheetId="7">Constants!#REF!</definedName>
    <definedName name="Pick_Point">Constants!#REF!</definedName>
    <definedName name="Pinger">Constants!$L$11:$L$16</definedName>
    <definedName name="pinger_style">Constants!$K$12:$K$16</definedName>
    <definedName name="Pinger_Weights">Constants!$L$11:$L$16</definedName>
    <definedName name="pond_weights">Ballast!$D$28</definedName>
    <definedName name="pond_wings">Constants!#REF!</definedName>
    <definedName name="_xlnm.Print_Area" localSheetId="0">Ballast!$B$1:$I$144</definedName>
    <definedName name="_xlnm.Print_Area" localSheetId="3">Constants!$A$1:$K$111</definedName>
    <definedName name="_xlnm.Print_Area" localSheetId="4">'G1'!$A$1:$E$63</definedName>
    <definedName name="_xlnm.Print_Area" localSheetId="5">'G2'!$A$1:$E$64</definedName>
    <definedName name="_xlnm.Print_Area" localSheetId="6">'G3'!$A$1:$E$70</definedName>
    <definedName name="_xlnm.Print_Area" localSheetId="7">'G3 (External Only)'!$A$1:$E$54</definedName>
    <definedName name="_xlnm.Print_Area" localSheetId="8">'Revision History'!$A$1:$D$17</definedName>
    <definedName name="_xlnm.Print_Area" localSheetId="1">Worksheet!$A$1:$H$54</definedName>
    <definedName name="_xlnm.Print_Titles" localSheetId="0">Ballast!$1:$6</definedName>
    <definedName name="_xlnm.Print_Titles" localSheetId="3">Constants!$1:$6</definedName>
    <definedName name="Thruster">Ballast!$D$28</definedName>
    <definedName name="Volumes">Ballast!$G$123:$H$124</definedName>
    <definedName name="weight_type" localSheetId="5">Constants!#REF!</definedName>
    <definedName name="weight_type" localSheetId="6">Constants!#REF!</definedName>
    <definedName name="weight_type" localSheetId="7">Constants!#REF!</definedName>
    <definedName name="weight_type">Constants!$H$11:$H$12</definedName>
  </definedNames>
  <calcPr calcId="162913"/>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D14" i="22" l="1"/>
  <c r="D13" i="22"/>
  <c r="D12" i="22"/>
  <c r="D11" i="22"/>
  <c r="D10" i="22"/>
  <c r="D9" i="22"/>
  <c r="D8" i="22"/>
  <c r="D7" i="22"/>
  <c r="D6" i="22"/>
  <c r="D5" i="22"/>
  <c r="D4" i="22"/>
  <c r="I14" i="22"/>
  <c r="I13" i="22"/>
  <c r="I12" i="22"/>
  <c r="I11" i="22"/>
  <c r="I10" i="22"/>
  <c r="I9" i="22"/>
  <c r="I8" i="22"/>
  <c r="I7" i="22"/>
  <c r="I6" i="22"/>
  <c r="I5" i="22"/>
  <c r="I4" i="22"/>
  <c r="H4" i="6"/>
  <c r="H3" i="6"/>
  <c r="H2" i="6"/>
  <c r="H1" i="6"/>
  <c r="G1" i="4"/>
  <c r="G2" i="4"/>
  <c r="G3" i="4"/>
  <c r="G4" i="4"/>
  <c r="D135" i="1"/>
  <c r="E84" i="6"/>
  <c r="B43" i="21"/>
  <c r="C52" i="21"/>
  <c r="C51" i="21"/>
  <c r="H50" i="21"/>
  <c r="B36" i="20"/>
  <c r="H49" i="21"/>
  <c r="C7" i="21"/>
  <c r="B104" i="6"/>
  <c r="A10" i="21" s="1"/>
  <c r="C46" i="21"/>
  <c r="F46" i="21" s="1"/>
  <c r="F45" i="21"/>
  <c r="B45" i="21"/>
  <c r="F44" i="21"/>
  <c r="B44" i="21"/>
  <c r="E25" i="21"/>
  <c r="E19" i="21"/>
  <c r="E18" i="21"/>
  <c r="B8" i="21"/>
  <c r="B7" i="21"/>
  <c r="E4" i="21"/>
  <c r="E3" i="21"/>
  <c r="E2" i="21"/>
  <c r="E1" i="21"/>
  <c r="D31" i="1"/>
  <c r="B69" i="6"/>
  <c r="B66" i="6"/>
  <c r="B67" i="6"/>
  <c r="B68" i="6"/>
  <c r="F22" i="1"/>
  <c r="F23" i="1"/>
  <c r="D85" i="6"/>
  <c r="C15" i="6" l="1"/>
  <c r="C16" i="6" s="1"/>
  <c r="C17" i="6" s="1"/>
  <c r="C7" i="20"/>
  <c r="C6" i="15"/>
  <c r="C7" i="17"/>
  <c r="C88" i="6"/>
  <c r="D88" i="6"/>
  <c r="C90" i="6"/>
  <c r="A52" i="20"/>
  <c r="H66" i="20"/>
  <c r="H65" i="20"/>
  <c r="C68" i="20"/>
  <c r="C67" i="20"/>
  <c r="E18" i="17"/>
  <c r="C89" i="6" l="1"/>
  <c r="C91" i="6"/>
  <c r="A48" i="17"/>
  <c r="C77" i="6" l="1"/>
  <c r="B77" i="6" s="1"/>
  <c r="C74" i="6" l="1"/>
  <c r="C73" i="6"/>
  <c r="B73" i="6" s="1"/>
  <c r="C76" i="6"/>
  <c r="B76" i="6" s="1"/>
  <c r="C75" i="6"/>
  <c r="B75" i="6" s="1"/>
  <c r="F21" i="1"/>
  <c r="C95" i="6" l="1"/>
  <c r="B48" i="17"/>
  <c r="C93" i="6"/>
  <c r="A10" i="17" l="1"/>
  <c r="C54" i="4"/>
  <c r="C56" i="17"/>
  <c r="C62" i="20"/>
  <c r="B59" i="20"/>
  <c r="B37" i="20"/>
  <c r="B35" i="17"/>
  <c r="B36" i="17" s="1"/>
  <c r="C31" i="15"/>
  <c r="A10" i="20" l="1"/>
  <c r="F61" i="20"/>
  <c r="F60" i="20"/>
  <c r="B61" i="20"/>
  <c r="B60" i="20"/>
  <c r="B51" i="20"/>
  <c r="F62" i="20"/>
  <c r="F59" i="20"/>
  <c r="F58" i="20"/>
  <c r="B58" i="20"/>
  <c r="F57" i="20"/>
  <c r="B57" i="20"/>
  <c r="F56" i="20"/>
  <c r="F55" i="20"/>
  <c r="B55" i="20"/>
  <c r="F54" i="20"/>
  <c r="B54" i="20"/>
  <c r="A54" i="20"/>
  <c r="F53" i="20"/>
  <c r="B53" i="20"/>
  <c r="F52" i="20"/>
  <c r="B52" i="20"/>
  <c r="E25" i="20"/>
  <c r="E19" i="20"/>
  <c r="E18" i="20"/>
  <c r="B8" i="20"/>
  <c r="B7" i="20"/>
  <c r="E4" i="20"/>
  <c r="E3" i="20"/>
  <c r="E2" i="20"/>
  <c r="E1" i="20"/>
  <c r="A50" i="17"/>
  <c r="H60" i="17"/>
  <c r="H59" i="17"/>
  <c r="B56" i="20" l="1"/>
  <c r="C62" i="17" l="1"/>
  <c r="C61" i="17"/>
  <c r="C65" i="6"/>
  <c r="C72" i="6"/>
  <c r="C70" i="6"/>
  <c r="F20" i="1"/>
  <c r="F19" i="1"/>
  <c r="D65" i="6" l="1"/>
  <c r="E65" i="6" s="1"/>
  <c r="D70" i="6"/>
  <c r="E70" i="6" s="1"/>
  <c r="B35" i="15"/>
  <c r="C87" i="6"/>
  <c r="C86" i="6"/>
  <c r="C85" i="6"/>
  <c r="E22" i="1"/>
  <c r="D64" i="6"/>
  <c r="E64" i="6" s="1"/>
  <c r="D71" i="6"/>
  <c r="E71" i="6" s="1"/>
  <c r="D42" i="6"/>
  <c r="D43" i="6"/>
  <c r="D72" i="6"/>
  <c r="E72" i="6" s="1"/>
  <c r="E28" i="1" l="1"/>
  <c r="E42" i="6"/>
  <c r="D76" i="6"/>
  <c r="E76" i="6" s="1"/>
  <c r="D68" i="6"/>
  <c r="E68" i="6" s="1"/>
  <c r="D69" i="6"/>
  <c r="D67" i="6"/>
  <c r="E67" i="6" s="1"/>
  <c r="D66" i="6"/>
  <c r="E66" i="6" s="1"/>
  <c r="D77" i="6"/>
  <c r="E77" i="6" s="1"/>
  <c r="D75" i="6"/>
  <c r="E75" i="6" s="1"/>
  <c r="D74" i="6"/>
  <c r="E74" i="6" s="1"/>
  <c r="D73" i="6"/>
  <c r="E73" i="6" s="1"/>
  <c r="E43" i="6"/>
  <c r="D44" i="6"/>
  <c r="E44" i="6" s="1"/>
  <c r="D45" i="6"/>
  <c r="E45" i="6" s="1"/>
  <c r="D46" i="6"/>
  <c r="E46" i="6" s="1"/>
  <c r="D47" i="6"/>
  <c r="E47" i="6" s="1"/>
  <c r="D48" i="6"/>
  <c r="E48" i="6" s="1"/>
  <c r="D49" i="6"/>
  <c r="E49" i="6" s="1"/>
  <c r="C14" i="6" l="1"/>
  <c r="E69" i="6"/>
  <c r="H71" i="6"/>
  <c r="E95" i="6"/>
  <c r="C94" i="6"/>
  <c r="E94" i="6" s="1"/>
  <c r="C92" i="6"/>
  <c r="E93" i="6"/>
  <c r="C13" i="6"/>
  <c r="C11" i="6"/>
  <c r="D78" i="6"/>
  <c r="E78" i="6" s="1"/>
  <c r="B37" i="21" l="1"/>
  <c r="F42" i="20"/>
  <c r="B36" i="21"/>
  <c r="C96" i="6"/>
  <c r="E92" i="6"/>
  <c r="E96" i="6" s="1"/>
  <c r="C31" i="21" s="1"/>
  <c r="B37" i="17"/>
  <c r="B38" i="17" s="1"/>
  <c r="B38" i="20"/>
  <c r="B39" i="20" s="1"/>
  <c r="B42" i="20" s="1"/>
  <c r="B43" i="20" s="1"/>
  <c r="B26" i="21" l="1"/>
  <c r="E26" i="21" s="1"/>
  <c r="C37" i="21"/>
  <c r="D45" i="21" s="1"/>
  <c r="C25" i="21"/>
  <c r="C35" i="21"/>
  <c r="D43" i="21" s="1"/>
  <c r="C36" i="21"/>
  <c r="D44" i="21" s="1"/>
  <c r="B39" i="17"/>
  <c r="B40" i="20"/>
  <c r="B26" i="17"/>
  <c r="B26" i="20"/>
  <c r="E26" i="20" s="1"/>
  <c r="D32" i="1"/>
  <c r="C31" i="20"/>
  <c r="C31" i="17"/>
  <c r="B40" i="17"/>
  <c r="B41" i="17"/>
  <c r="B42" i="17" s="1"/>
  <c r="A36" i="15"/>
  <c r="B36" i="15"/>
  <c r="C26" i="21" l="1"/>
  <c r="C28" i="21" s="1"/>
  <c r="D46" i="21"/>
  <c r="C26" i="20"/>
  <c r="C38" i="20"/>
  <c r="D54" i="20" s="1"/>
  <c r="C35" i="20"/>
  <c r="D51" i="20" s="1"/>
  <c r="C25" i="20"/>
  <c r="C36" i="20"/>
  <c r="D52" i="20" s="1"/>
  <c r="C37" i="20"/>
  <c r="D53" i="20" s="1"/>
  <c r="C40" i="20"/>
  <c r="D56" i="20" s="1"/>
  <c r="B41" i="20"/>
  <c r="C41" i="20" s="1"/>
  <c r="D57" i="20" s="1"/>
  <c r="C39" i="20"/>
  <c r="D55" i="20" s="1"/>
  <c r="F56" i="17"/>
  <c r="F55" i="17"/>
  <c r="B55" i="17"/>
  <c r="F54" i="17"/>
  <c r="B54" i="17"/>
  <c r="F53" i="17"/>
  <c r="F52" i="17"/>
  <c r="F51" i="17"/>
  <c r="F50" i="17"/>
  <c r="F49" i="17"/>
  <c r="B49" i="17"/>
  <c r="F48" i="17"/>
  <c r="E25" i="17"/>
  <c r="E19" i="17"/>
  <c r="B8" i="17"/>
  <c r="B7" i="17"/>
  <c r="E4" i="17"/>
  <c r="E3" i="17"/>
  <c r="E2" i="17"/>
  <c r="E1" i="17"/>
  <c r="B50" i="21" l="1"/>
  <c r="B52" i="21"/>
  <c r="B51" i="21"/>
  <c r="C50" i="21"/>
  <c r="C28" i="20"/>
  <c r="B44" i="20"/>
  <c r="C44" i="20" s="1"/>
  <c r="C42" i="20"/>
  <c r="D58" i="20" s="1"/>
  <c r="B51" i="17"/>
  <c r="B50" i="17"/>
  <c r="B53" i="17"/>
  <c r="B52" i="17"/>
  <c r="B45" i="20" l="1"/>
  <c r="C45" i="20" s="1"/>
  <c r="D61" i="20" s="1"/>
  <c r="C43" i="20"/>
  <c r="D59" i="20" s="1"/>
  <c r="D60" i="20"/>
  <c r="C40" i="17"/>
  <c r="D53" i="17" s="1"/>
  <c r="C41" i="17"/>
  <c r="D54" i="17" s="1"/>
  <c r="C25" i="17"/>
  <c r="C35" i="17"/>
  <c r="C36" i="17"/>
  <c r="D49" i="17" s="1"/>
  <c r="C37" i="17"/>
  <c r="D50" i="17" s="1"/>
  <c r="C38" i="17"/>
  <c r="D51" i="17" s="1"/>
  <c r="C39" i="17"/>
  <c r="D52" i="17" s="1"/>
  <c r="C42" i="17"/>
  <c r="C26" i="17"/>
  <c r="E26" i="17"/>
  <c r="B38" i="15"/>
  <c r="B42" i="15"/>
  <c r="D62" i="20" l="1"/>
  <c r="B67" i="20" s="1"/>
  <c r="C28" i="17"/>
  <c r="D48" i="17"/>
  <c r="D55" i="17"/>
  <c r="B41" i="15"/>
  <c r="B49" i="15"/>
  <c r="B40" i="15"/>
  <c r="B37" i="15"/>
  <c r="B39" i="15"/>
  <c r="B25" i="15"/>
  <c r="E25" i="15" s="1"/>
  <c r="B26" i="15"/>
  <c r="E26" i="15" s="1"/>
  <c r="A4" i="15"/>
  <c r="B68" i="15"/>
  <c r="C62" i="15" s="1"/>
  <c r="B67" i="15"/>
  <c r="C61" i="15" s="1"/>
  <c r="C56" i="15"/>
  <c r="F56" i="15" s="1"/>
  <c r="F55" i="15"/>
  <c r="B55" i="15"/>
  <c r="F54" i="15"/>
  <c r="B54" i="15"/>
  <c r="F53" i="15"/>
  <c r="B53" i="15"/>
  <c r="F52" i="15"/>
  <c r="B52" i="15"/>
  <c r="F51" i="15"/>
  <c r="B51" i="15"/>
  <c r="F50" i="15"/>
  <c r="B50" i="15"/>
  <c r="F49" i="15"/>
  <c r="F48" i="15"/>
  <c r="B48" i="15"/>
  <c r="E19" i="15"/>
  <c r="E18" i="15"/>
  <c r="B7" i="15"/>
  <c r="B6" i="15"/>
  <c r="E4" i="15"/>
  <c r="E3" i="15"/>
  <c r="E2" i="15"/>
  <c r="E1" i="15"/>
  <c r="B66" i="20" l="1"/>
  <c r="C66" i="20"/>
  <c r="B68" i="20"/>
  <c r="D56" i="17"/>
  <c r="B60" i="17" s="1"/>
  <c r="C42" i="15"/>
  <c r="B71" i="15" s="1"/>
  <c r="A49" i="15"/>
  <c r="C37" i="15"/>
  <c r="D50" i="15" s="1"/>
  <c r="C36" i="15"/>
  <c r="D49" i="15" s="1"/>
  <c r="C40" i="15"/>
  <c r="D53" i="15" s="1"/>
  <c r="C38" i="15"/>
  <c r="D51" i="15" s="1"/>
  <c r="C41" i="15"/>
  <c r="D54" i="15" s="1"/>
  <c r="C35" i="15"/>
  <c r="B70" i="15" s="1"/>
  <c r="C39" i="15"/>
  <c r="D52" i="15" s="1"/>
  <c r="C25" i="15"/>
  <c r="C26" i="15"/>
  <c r="C53" i="4"/>
  <c r="C60" i="17" l="1"/>
  <c r="B61" i="17"/>
  <c r="B62" i="17"/>
  <c r="D55" i="15"/>
  <c r="D48" i="15"/>
  <c r="C28" i="15"/>
  <c r="D56" i="15" l="1"/>
  <c r="B60" i="15" s="1"/>
  <c r="D85" i="1"/>
  <c r="F85" i="1" s="1"/>
  <c r="B62" i="15" l="1"/>
  <c r="C60" i="15"/>
  <c r="B61" i="15"/>
  <c r="C7" i="4" l="1"/>
  <c r="D100" i="1" l="1"/>
  <c r="F100" i="1" s="1"/>
  <c r="C9" i="4"/>
  <c r="C8" i="4"/>
  <c r="D36" i="1" l="1"/>
  <c r="C12" i="6" l="1"/>
  <c r="G15" i="4"/>
  <c r="G14" i="4"/>
  <c r="C15" i="4"/>
  <c r="C14" i="4"/>
  <c r="C10" i="4" l="1"/>
  <c r="D44" i="1" l="1"/>
  <c r="F44" i="1"/>
  <c r="F74" i="1"/>
  <c r="F75" i="1"/>
  <c r="F77" i="1"/>
  <c r="F78" i="1"/>
  <c r="D79" i="1"/>
  <c r="D83" i="1" s="1"/>
  <c r="F80" i="1"/>
  <c r="F86" i="1"/>
  <c r="F101" i="1"/>
  <c r="F102" i="1"/>
  <c r="F103" i="1"/>
  <c r="F104" i="1"/>
  <c r="F108" i="1"/>
  <c r="D45" i="1" l="1"/>
  <c r="D136" i="1" s="1"/>
  <c r="C16" i="4"/>
  <c r="F45" i="1"/>
  <c r="H39" i="1" s="1"/>
  <c r="G16" i="4"/>
  <c r="H45" i="1" l="1"/>
  <c r="E137" i="1"/>
  <c r="D106" i="1"/>
  <c r="D109" i="1" s="1"/>
  <c r="D87" i="1"/>
  <c r="C17" i="4"/>
  <c r="G17" i="4"/>
  <c r="C11" i="4" l="1"/>
  <c r="H46" i="1"/>
  <c r="C20" i="20" l="1"/>
  <c r="C65" i="20" s="1"/>
  <c r="C20" i="21"/>
  <c r="C20" i="17"/>
  <c r="C59" i="17" s="1"/>
  <c r="C20" i="15"/>
  <c r="B59" i="15" s="1"/>
  <c r="D48" i="1"/>
  <c r="C49" i="21" l="1"/>
  <c r="B49" i="21"/>
  <c r="C21" i="20"/>
  <c r="B65" i="20"/>
  <c r="B21" i="20"/>
  <c r="C21" i="21"/>
  <c r="B53" i="21" s="1"/>
  <c r="B21" i="21"/>
  <c r="C21" i="17"/>
  <c r="B59" i="17"/>
  <c r="B21" i="17"/>
  <c r="C59" i="15"/>
  <c r="C21" i="15"/>
  <c r="B21" i="15"/>
</calcChain>
</file>

<file path=xl/sharedStrings.xml><?xml version="1.0" encoding="utf-8"?>
<sst xmlns="http://schemas.openxmlformats.org/spreadsheetml/2006/main" count="643" uniqueCount="340">
  <si>
    <t>Glider Name:</t>
  </si>
  <si>
    <t>Date:</t>
  </si>
  <si>
    <t>Liters</t>
  </si>
  <si>
    <t>Target Water</t>
  </si>
  <si>
    <t>Tank Water</t>
  </si>
  <si>
    <t>pss</t>
  </si>
  <si>
    <r>
      <t>g/L</t>
    </r>
    <r>
      <rPr>
        <vertAlign val="superscript"/>
        <sz val="10"/>
        <rFont val="Arial"/>
        <family val="2"/>
      </rPr>
      <t>o</t>
    </r>
    <r>
      <rPr>
        <sz val="10"/>
        <rFont val="Arial"/>
        <family val="2"/>
      </rPr>
      <t>C</t>
    </r>
  </si>
  <si>
    <r>
      <t>o</t>
    </r>
    <r>
      <rPr>
        <sz val="10"/>
        <rFont val="Arial"/>
        <family val="2"/>
      </rPr>
      <t>C</t>
    </r>
  </si>
  <si>
    <t>grams</t>
  </si>
  <si>
    <t>1- Place well-ballasted glider in tank with wings.</t>
  </si>
  <si>
    <t>2- Add a known amount of weight (~300 g) on one wing rail</t>
  </si>
  <si>
    <t>3- Attach a spring scale to the glider on the opposite wing rail</t>
  </si>
  <si>
    <t>4- Measure the weight change shown on the spring scale</t>
  </si>
  <si>
    <t>mm</t>
  </si>
  <si>
    <t>H-distance</t>
  </si>
  <si>
    <t>Pitch Range</t>
  </si>
  <si>
    <t>s/m</t>
  </si>
  <si>
    <t>2- Record m_pitch and m_battpos</t>
  </si>
  <si>
    <t>4- Record m_pitch and m_battpos</t>
  </si>
  <si>
    <t>kg</t>
  </si>
  <si>
    <t>radians</t>
  </si>
  <si>
    <t>inches</t>
  </si>
  <si>
    <t>Pitch_1</t>
  </si>
  <si>
    <t>Battery Position_1</t>
  </si>
  <si>
    <t>Pitch_2</t>
  </si>
  <si>
    <t>Battery Position_2</t>
  </si>
  <si>
    <t>degrees</t>
  </si>
  <si>
    <t>Roll Start</t>
  </si>
  <si>
    <t>Roll End</t>
  </si>
  <si>
    <t>Weight on Spring</t>
  </si>
  <si>
    <t>Weight added on wing rail</t>
  </si>
  <si>
    <t>Angle of Rotation</t>
  </si>
  <si>
    <t>(radius of hull: 200m=107, 1000m=110)</t>
  </si>
  <si>
    <t>Calculated/given Salinity</t>
  </si>
  <si>
    <t>Glider:</t>
  </si>
  <si>
    <t>inchgrams</t>
  </si>
  <si>
    <t>Aft</t>
  </si>
  <si>
    <t>H-Distance</t>
  </si>
  <si>
    <t>Fwd scale position</t>
  </si>
  <si>
    <t>Aft scale position</t>
  </si>
  <si>
    <t>Center of Buoyancy:</t>
  </si>
  <si>
    <t>Coordinate Setup:</t>
  </si>
  <si>
    <t>The reference point everything is measured from is the forward edge of the forward hull.</t>
  </si>
  <si>
    <t>From fwd hull</t>
  </si>
  <si>
    <t>Fwd Scale reading:</t>
  </si>
  <si>
    <t>Aft Scale reading:</t>
  </si>
  <si>
    <t>Adjustment from ballasting sheet:</t>
  </si>
  <si>
    <t>From center of buoyancy</t>
  </si>
  <si>
    <t>Center</t>
  </si>
  <si>
    <t>row of first spot</t>
  </si>
  <si>
    <t>row of second spot</t>
  </si>
  <si>
    <t>pos of first spot</t>
  </si>
  <si>
    <t>pos of second spot</t>
  </si>
  <si>
    <t>Position:</t>
  </si>
  <si>
    <t>Weight adjustment calculation:</t>
  </si>
  <si>
    <t>Scale readings and setup:</t>
  </si>
  <si>
    <t>Red numbers indicate measured constants that will affect results.</t>
  </si>
  <si>
    <t>Temporary stuff that is needed because excel limits me to 7 nested functions:</t>
  </si>
  <si>
    <t>(grams)</t>
  </si>
  <si>
    <t>(inchgrams)</t>
  </si>
  <si>
    <t>(inches)</t>
  </si>
  <si>
    <t>From CoB</t>
  </si>
  <si>
    <t>Coordinates of forward top and bottom bottles was measured with heavy end of bottle forward</t>
  </si>
  <si>
    <t>Calculated/given Density</t>
  </si>
  <si>
    <t>Temperature and</t>
  </si>
  <si>
    <t>(Density or</t>
  </si>
  <si>
    <t>Conductivity or</t>
  </si>
  <si>
    <t>Salinity)</t>
  </si>
  <si>
    <t>Off from center of buoyancy by this much:</t>
  </si>
  <si>
    <t>Zero if spot unavailable</t>
  </si>
  <si>
    <t>One if spot available</t>
  </si>
  <si>
    <t>3- Put battery position at 0</t>
  </si>
  <si>
    <t>Forward</t>
  </si>
  <si>
    <t>1- Put battery position (c_battpos) at about .25, ensure front of glider is not touching bottom of tank- adjust as necessary</t>
  </si>
  <si>
    <t>Notes:</t>
  </si>
  <si>
    <t>Instructions:</t>
  </si>
  <si>
    <t>1- Put glider in tank and attach scales, recording the point of attachment in scale setup section.</t>
  </si>
  <si>
    <t xml:space="preserve">&lt;-- when this change is made, the number below will be affected.  It is necessary </t>
  </si>
  <si>
    <t>to record both numbers so they can both be changed to the correct value.</t>
  </si>
  <si>
    <t>7- Remove glider from tank and make weight adjustments.  Put glider back in tank.  Clear weight adjustment cells and scale reading cells.  Repeat step 2 and check ballasting.</t>
  </si>
  <si>
    <t>Depending on which hole is used to bolt weight to the weight bar, coordinates of sci fwd disc</t>
  </si>
  <si>
    <t>and sci aft disc will need to be adjusted.</t>
  </si>
  <si>
    <t>Final</t>
  </si>
  <si>
    <t>If you want to change anything, the password to unprotect the sheet is "glider"</t>
  </si>
  <si>
    <t>Glider Ballast Worksheet</t>
  </si>
  <si>
    <t>TANK WATER:</t>
  </si>
  <si>
    <t>TARGET WATER</t>
  </si>
  <si>
    <t>Payload</t>
  </si>
  <si>
    <t>Final Weight Configuration As Sent to Customer</t>
  </si>
  <si>
    <t>Port Bottle</t>
  </si>
  <si>
    <t>Top FWD</t>
  </si>
  <si>
    <t>STBD Bottle</t>
  </si>
  <si>
    <t>Bottom FWD</t>
  </si>
  <si>
    <t>Bottom Bottle</t>
  </si>
  <si>
    <t>Top AFT</t>
  </si>
  <si>
    <t>Bottom AFT</t>
  </si>
  <si>
    <t>Glider Type:</t>
  </si>
  <si>
    <t>Glider Types</t>
  </si>
  <si>
    <t>G1 Shallow (200m)</t>
  </si>
  <si>
    <t>G1 Deep (1000m)</t>
  </si>
  <si>
    <t>G2 Deep (1000m)</t>
  </si>
  <si>
    <t>Total Glider Displacement:</t>
  </si>
  <si>
    <t>in^3</t>
  </si>
  <si>
    <t>L</t>
  </si>
  <si>
    <t>Base Glider Displacement:</t>
  </si>
  <si>
    <t>Installed</t>
  </si>
  <si>
    <t>Volume of Additional Bay</t>
  </si>
  <si>
    <t>Ballasted by:</t>
  </si>
  <si>
    <t>Ballasting The Slocum Glider (Spreadsheet)</t>
  </si>
  <si>
    <t>Glider Displacement (L):</t>
  </si>
  <si>
    <t>Temperature (°C):</t>
  </si>
  <si>
    <t>Conductivity (S/m):</t>
  </si>
  <si>
    <t>Salinity (psu):</t>
  </si>
  <si>
    <t>Density (g/L°C):</t>
  </si>
  <si>
    <t>Pie Weight Locations</t>
  </si>
  <si>
    <t>H-Moment (mm):</t>
  </si>
  <si>
    <t>Weight (g)</t>
  </si>
  <si>
    <t>Ballasting Technician:</t>
  </si>
  <si>
    <t>Weight Bar</t>
  </si>
  <si>
    <t>Reference Ballasting Procedure 4095-GBP</t>
  </si>
  <si>
    <t>5- Measure the angle of roll that the glider undergoes due to the addition of weight. For this step you can use an inclinometer (less accurate) or have the glider on and measure compass roll before and after weight addition and measure angle difference.</t>
  </si>
  <si>
    <t>6- Remove the added weight, measure weight, and multiply by 0.912 if using Lead weight or by 0.875 if the weight used is stainless steel. This factor accounts for buoyancy provided by water on material.</t>
  </si>
  <si>
    <t>Battery Type:</t>
  </si>
  <si>
    <t>Battery Types</t>
  </si>
  <si>
    <t>Alkaline</t>
  </si>
  <si>
    <t>Lithium</t>
  </si>
  <si>
    <t>Aft Configuration</t>
  </si>
  <si>
    <t>Pitch Configuration</t>
  </si>
  <si>
    <t>Nose Configuration</t>
  </si>
  <si>
    <t>Radius of Hull + 
Distance to Weight</t>
  </si>
  <si>
    <t>Total range of 
Pitch Battery (+/- in)</t>
  </si>
  <si>
    <t>Sign:</t>
  </si>
  <si>
    <t>Aft Configurations</t>
  </si>
  <si>
    <t>9 pack aft</t>
  </si>
  <si>
    <t>10 pack aft</t>
  </si>
  <si>
    <t>11 pack aft</t>
  </si>
  <si>
    <t>12 pack aft</t>
  </si>
  <si>
    <t>0 pack nose</t>
  </si>
  <si>
    <t>1 pack nose</t>
  </si>
  <si>
    <t>2 pack nose</t>
  </si>
  <si>
    <t>Drive Weight Type</t>
  </si>
  <si>
    <t>Stainless Steel</t>
  </si>
  <si>
    <t>Lead</t>
  </si>
  <si>
    <t>Drive Weight Material</t>
  </si>
  <si>
    <t>4095-GBPSH</t>
  </si>
  <si>
    <t>Document #:</t>
  </si>
  <si>
    <t>Rev:</t>
  </si>
  <si>
    <t>ECO #:</t>
  </si>
  <si>
    <t>Calculating H-moment (Roll Method)</t>
  </si>
  <si>
    <t>Calculating H-moment (Pitch Battery method)</t>
  </si>
  <si>
    <t>N/A</t>
  </si>
  <si>
    <t>G2 Shallow (&lt;=200m)</t>
  </si>
  <si>
    <t>MARK III aft end cap</t>
  </si>
  <si>
    <t>Mark III Aft End Cap</t>
  </si>
  <si>
    <t xml:space="preserve">This tab is to be used for gliders configured as shown in the above diagram </t>
  </si>
  <si>
    <t>1- Fill in all fields that are shaded in blue</t>
  </si>
  <si>
    <t>2- Adjust weight by amount in yellow box to go from neutrally buoyant in tank to neutrally buoyant in target water</t>
  </si>
  <si>
    <t>3- If you want to change anything, the password to unprotect the sheet is "glider"</t>
  </si>
  <si>
    <t>Pinger Channel:</t>
  </si>
  <si>
    <t>Pond Wings:</t>
  </si>
  <si>
    <t>2- Record readings on scales in cells C18 and C19. If glider is light, temporarily add  an external known weight to the centerpoint of the glider. If weight is temporarily added, enter the removal of the weight as an adjustment in cell C52. (If the weight in water of the weight is 500g, removing this weight will be a -500g adjustment, so enter  -500 in cell C52)</t>
  </si>
  <si>
    <t>3- Looking at cell B59, the necessary weight adjustment to the glider, decide which positions you will be able to add/remove weight from, and enter weight adjustments in cells C48-C55 until no more weight needs to be added or subtracted.  Use judgment to determine where to add/subtract weight from.  If the front of the glider is heavy, you want to remove weight from the front of the glider.</t>
  </si>
  <si>
    <t>4- Only after cell B59 reads zero (no more weight adjustments are needed), determine the exact distribution of weight by putting a "1" in each cell, A48-A55, where the corresponding position in cell B48-B55 is available.  For example, if weight needs to be moved forward but the forward bottles are full, enter a "0".  If they have room to add weight, enter a "1".</t>
  </si>
  <si>
    <t>5- In doing the weight adjustment calculation, the spreadsheet will select the furthest forward and furthest aft positions that are "available" (as indicated in column A), and calculate how much weight needs to be moved between these two positions, which can be seen in cell B60.  If the value shown is greater than the amount that can physically be moved, that's okay, change the weight adjustment cells to reflect the amount of weight you can actually move, and change the 1 to a 0 to reflect that the spot is no longer available.  For example, if the spreadsheet tells you to move 1500g from sci fwd to sci aft, but you only have 500g in sci fwd, reduce the sci fwd weight adjustment by 500g, increase the sci aft weight adjustment by 500g, and change the 1 to a 0 in the cell corresponding to sci fwd availibility.</t>
  </si>
  <si>
    <t>6- Repeat step 5 until no more weight needs to move within the glider (cell B60 will be zero).  As you repeat step 5 and change the weight adjustment numbers, you need to ensure that the TOTAL weight adjustment remains at the appropriate value.</t>
  </si>
  <si>
    <t>2nd sci bay (G1 deep &amp; G2)</t>
  </si>
  <si>
    <t>1st sci bay (G1 deep &amp; G2)</t>
  </si>
  <si>
    <t>G2 sci/energy bay</t>
  </si>
  <si>
    <t>1st sci bay (G1 shallow)</t>
  </si>
  <si>
    <t>2nd sci bay (G1 shallow)</t>
  </si>
  <si>
    <t>Science/Energy Bay Configuration</t>
  </si>
  <si>
    <t>Extended Sci/Energy Bay Configurations</t>
  </si>
  <si>
    <t>Secondary Lithium
Pitch Pack</t>
  </si>
  <si>
    <t>Lithium Aft Pack</t>
  </si>
  <si>
    <t>Lithium Emergency Pack</t>
  </si>
  <si>
    <t>Pie weights can be removed or shifted around to indicate exact location. The quantity can also be changed to represent stacked pie weights.</t>
  </si>
  <si>
    <t>Wing Rail Weight Locations</t>
  </si>
  <si>
    <t>Shade in the location of wing rail weights.</t>
  </si>
  <si>
    <t>F</t>
  </si>
  <si>
    <t>Rockland Scientific Microrider</t>
  </si>
  <si>
    <t>SUNA Nitrate Sensor</t>
  </si>
  <si>
    <t>Revision History</t>
  </si>
  <si>
    <t>REV</t>
  </si>
  <si>
    <t>DESCRIPTION OF CHANGE</t>
  </si>
  <si>
    <t>ECO #</t>
  </si>
  <si>
    <t>DATE</t>
  </si>
  <si>
    <t>Configure 2 Drive Weights, Each Weighing (g)</t>
  </si>
  <si>
    <t>2nd dvl/echosounder/optics bay</t>
  </si>
  <si>
    <t>1st dvl/echosounder/optics bay</t>
  </si>
  <si>
    <t>Pond Wings</t>
  </si>
  <si>
    <t>A</t>
  </si>
  <si>
    <t>B</t>
  </si>
  <si>
    <t>C</t>
  </si>
  <si>
    <t>D</t>
  </si>
  <si>
    <t>Pinger</t>
  </si>
  <si>
    <t>Pinger Displacement (L)</t>
  </si>
  <si>
    <t>Channel 1</t>
  </si>
  <si>
    <t>Channel 2</t>
  </si>
  <si>
    <t>Channel 3</t>
  </si>
  <si>
    <t>Channel 4</t>
  </si>
  <si>
    <t>Extended sci/energy bay</t>
  </si>
  <si>
    <t>Added microrider, SUNA, pond wing, pinger channel, and customizable volumes, edited for clarity, corrected weight position errors in glider tabs</t>
  </si>
  <si>
    <t>G2</t>
  </si>
  <si>
    <t>Picture 39</t>
  </si>
  <si>
    <t>Picture 33</t>
  </si>
  <si>
    <t>Picture 35</t>
  </si>
  <si>
    <t>G2_DVL</t>
  </si>
  <si>
    <t>G2_EN</t>
  </si>
  <si>
    <t>Mass Adjustment</t>
  </si>
  <si>
    <t>Mass Adjustment Section:</t>
  </si>
  <si>
    <t>Mass Position</t>
  </si>
  <si>
    <t>Fwd Scale Position</t>
  </si>
  <si>
    <t>Aft Scale Position</t>
  </si>
  <si>
    <t>Dist From Fwd Hull</t>
  </si>
  <si>
    <t>Mass</t>
  </si>
  <si>
    <t>Mass Adjustment Calculation:</t>
  </si>
  <si>
    <t>Dist from Fwd Hull</t>
  </si>
  <si>
    <t>Sci Fwd Bottles</t>
  </si>
  <si>
    <t>Sci Fwd Disc</t>
  </si>
  <si>
    <t>Sci Aft Disc</t>
  </si>
  <si>
    <t>Sci Aft Bottles</t>
  </si>
  <si>
    <t>Forward Top</t>
  </si>
  <si>
    <t>Center of Mass Adjustment</t>
  </si>
  <si>
    <t>Mass Change</t>
  </si>
  <si>
    <t>Total Mass Adjustment:</t>
  </si>
  <si>
    <t>mass (kg)</t>
  </si>
  <si>
    <t>Mass of Pitch Battery</t>
  </si>
  <si>
    <t>Fore Hull</t>
  </si>
  <si>
    <t>Aft Hull</t>
  </si>
  <si>
    <t>Cowlings</t>
  </si>
  <si>
    <t>Payload Bay</t>
  </si>
  <si>
    <t>Wings</t>
  </si>
  <si>
    <t>Aft Battery</t>
  </si>
  <si>
    <t>Pitch Battery</t>
  </si>
  <si>
    <t>Fore Battery 1, 2, EMER</t>
  </si>
  <si>
    <t>Aft Ballast Bottles</t>
  </si>
  <si>
    <t>Fore Ballast Bottles</t>
  </si>
  <si>
    <r>
      <t>Aft Stem</t>
    </r>
    <r>
      <rPr>
        <sz val="8"/>
        <rFont val="Arial"/>
        <family val="2"/>
      </rPr>
      <t xml:space="preserve"> (plus plug and cards, minus ballast bottles)</t>
    </r>
  </si>
  <si>
    <r>
      <t xml:space="preserve">Fore Stem </t>
    </r>
    <r>
      <rPr>
        <sz val="8"/>
        <rFont val="Arial"/>
        <family val="2"/>
      </rPr>
      <t>(minus ballast bottles)</t>
    </r>
  </si>
  <si>
    <r>
      <t>Screws</t>
    </r>
    <r>
      <rPr>
        <sz val="8"/>
        <rFont val="Arial"/>
        <family val="2"/>
      </rPr>
      <t xml:space="preserve"> (vacuum, cowling, aft battery)</t>
    </r>
  </si>
  <si>
    <t>Individual Glider Masses</t>
  </si>
  <si>
    <t>Glider Mass in Tank (g)</t>
  </si>
  <si>
    <t>Glider Volume (L)</t>
  </si>
  <si>
    <t>Total Glider Mass (kg)</t>
  </si>
  <si>
    <t>Mass (g)</t>
  </si>
  <si>
    <t>Standard</t>
  </si>
  <si>
    <t>&lt;-- Sum of scale readings (glider must be completely submurged)</t>
  </si>
  <si>
    <r>
      <t xml:space="preserve">Other </t>
    </r>
    <r>
      <rPr>
        <sz val="8"/>
        <rFont val="Arial"/>
        <family val="2"/>
      </rPr>
      <t>(pick point, sensors, etc.)</t>
    </r>
  </si>
  <si>
    <t>Pick Point</t>
  </si>
  <si>
    <t>Thruster</t>
  </si>
  <si>
    <t>FAA-Style</t>
  </si>
  <si>
    <t>None</t>
  </si>
  <si>
    <t>FWD Hull</t>
  </si>
  <si>
    <t>AFT Hull</t>
  </si>
  <si>
    <t>Primary Payload Bay</t>
  </si>
  <si>
    <t>Secondary Payload Bay</t>
  </si>
  <si>
    <t>SUM</t>
  </si>
  <si>
    <t>Advanced Volume Calculation Method:</t>
  </si>
  <si>
    <t>Advanced</t>
  </si>
  <si>
    <t>Calc Method</t>
  </si>
  <si>
    <t>^Installed?</t>
  </si>
  <si>
    <t>^Dummy?</t>
  </si>
  <si>
    <t>G1 Science Bay</t>
  </si>
  <si>
    <t>G1 Main Hull</t>
  </si>
  <si>
    <t>&lt;-- volume for main hull already acounted for in base glider volume</t>
  </si>
  <si>
    <t>&lt;-- 10.5" or 10"?</t>
  </si>
  <si>
    <t>Installed?</t>
  </si>
  <si>
    <t>Other: Primary</t>
  </si>
  <si>
    <t>Other: FWD</t>
  </si>
  <si>
    <t>Other: AFT</t>
  </si>
  <si>
    <t>FWD Plates</t>
  </si>
  <si>
    <t>FWD Ballast Bottles</t>
  </si>
  <si>
    <t>Wing Rail Slugs</t>
  </si>
  <si>
    <t>AFT Ballast Bottles</t>
  </si>
  <si>
    <t>FWD Secondary Bay Pie Weights</t>
  </si>
  <si>
    <t>FWD Primary Pie Weights</t>
  </si>
  <si>
    <t>AFT Primary Bay Pie Weights</t>
  </si>
  <si>
    <t>Nose Slugs</t>
  </si>
  <si>
    <t>AFT Cap Pie Weights</t>
  </si>
  <si>
    <t>Center of Buoyancy</t>
  </si>
  <si>
    <t>G1 Hull Diameter (in)</t>
  </si>
  <si>
    <t>G2+ Hull Diameter (in)</t>
  </si>
  <si>
    <t xml:space="preserve">&lt;-- guestimate </t>
  </si>
  <si>
    <t>Aft End Cap</t>
  </si>
  <si>
    <t>FWD Pump</t>
  </si>
  <si>
    <t>n/a</t>
  </si>
  <si>
    <t>FWD Pump CoB (in)</t>
  </si>
  <si>
    <t>FWD Ballast Plate Location (in)</t>
  </si>
  <si>
    <t>FWD Ballast Bottle Location (in)</t>
  </si>
  <si>
    <t>-</t>
  </si>
  <si>
    <t>PictureTable</t>
  </si>
  <si>
    <t>W/O Secondary Bay</t>
  </si>
  <si>
    <t>W/ Secondary Bay</t>
  </si>
  <si>
    <t>Picture 6</t>
  </si>
  <si>
    <t>Picture 7</t>
  </si>
  <si>
    <t xml:space="preserve">Thruster Slugs </t>
  </si>
  <si>
    <t xml:space="preserve">&lt;-- with recovery system installed </t>
  </si>
  <si>
    <t>Sonar Dome Recovery System</t>
  </si>
  <si>
    <t>Standard MCBH PL Bay (10.8")</t>
  </si>
  <si>
    <t>G3 Shallow (&lt;=200m)</t>
  </si>
  <si>
    <t>G3 Deep (1000m)</t>
  </si>
  <si>
    <t>G3 UHD (350m)</t>
  </si>
  <si>
    <t xml:space="preserve">      Installed             Dummy</t>
  </si>
  <si>
    <t>Add-ons for Standard Method
(check box for each)</t>
  </si>
  <si>
    <t>Insert Glider-Specific Volume Adjustment Here (L)</t>
  </si>
  <si>
    <t>Length (in)</t>
  </si>
  <si>
    <t>Picture 2</t>
  </si>
  <si>
    <t>Picture 3</t>
  </si>
  <si>
    <t>External Nose Slug</t>
  </si>
  <si>
    <t>External Wing Rail Slugs</t>
  </si>
  <si>
    <t>External Thruster Slugs</t>
  </si>
  <si>
    <t>Ballast error (g)</t>
  </si>
  <si>
    <t>Adjustment in increments of slugs</t>
  </si>
  <si>
    <t>Aft Bottle PORT</t>
  </si>
  <si>
    <t>Aft Bottle STBD</t>
  </si>
  <si>
    <t>FWD SCIENCE BAY</t>
  </si>
  <si>
    <t>AFT SCIENCE BAY</t>
  </si>
  <si>
    <t>ENERGY/STACK ON BAY</t>
  </si>
  <si>
    <r>
      <rPr>
        <b/>
        <sz val="10"/>
        <rFont val="Arial"/>
        <family val="2"/>
      </rPr>
      <t>Note:</t>
    </r>
    <r>
      <rPr>
        <sz val="10"/>
        <rFont val="Arial"/>
        <family val="2"/>
      </rPr>
      <t xml:space="preserve"> This spreadsheet consists of 3 tabs. Complete "Ballast", "Worksheet", and the tab relevant to your particular glider.</t>
    </r>
  </si>
  <si>
    <r>
      <t xml:space="preserve">Perfered Volume Calculation Method
</t>
    </r>
    <r>
      <rPr>
        <b/>
        <sz val="8"/>
        <rFont val="Arial"/>
        <family val="2"/>
      </rPr>
      <t xml:space="preserve"> (Please select from drop down menu)</t>
    </r>
  </si>
  <si>
    <t>H</t>
  </si>
  <si>
    <t>Glider
 Displacements (L)</t>
  </si>
  <si>
    <t>length of bay
 (inches)</t>
  </si>
  <si>
    <t>Nose 
Configurations</t>
  </si>
  <si>
    <t>Pond Wing
 Displacements (L)</t>
  </si>
  <si>
    <t>G</t>
  </si>
  <si>
    <t>Removed note saying the password for worksheet is "glider"</t>
  </si>
  <si>
    <t>Condenced sheets from multiple revisions for each glider generation to single sheet per gen. 
Added alternative method for calculating glider density; Added sheet for G3</t>
  </si>
  <si>
    <t>FWD</t>
  </si>
  <si>
    <t>AFT</t>
  </si>
  <si>
    <t>amlr05</t>
  </si>
  <si>
    <t>ASSY G-1405-L (Standard G3 - 20.25'')</t>
  </si>
  <si>
    <t>Energy Bay (15.2'')</t>
  </si>
  <si>
    <t>AFT PLATE</t>
  </si>
  <si>
    <t>Bullet Weights Nose</t>
  </si>
  <si>
    <t>Aft Plate</t>
  </si>
  <si>
    <t>Bullet Weights Tail</t>
  </si>
  <si>
    <t xml:space="preserve">dessicant </t>
  </si>
  <si>
    <t>GO, KB</t>
  </si>
  <si>
    <t>ASSY G-1405-3 (21.75'')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</si>
</sst>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5">
    <numFmt numFmtId="164" formatCode="0.0000"/>
    <numFmt numFmtId="165" formatCode="d\-mmm\-yyyy"/>
    <numFmt numFmtId="166" formatCode="0.0"/>
    <numFmt numFmtId="167" formatCode="0.000"/>
    <numFmt numFmtId="168" formatCode="mm/dd/yy;@"/>
  </numFmts>
  <fonts count="35" x14ac:knownFonts="1">
    <font>
      <sz val="10"/>
      <name val="Arial"/>
    </font>
    <font>
      <sz val="10"/>
      <name val="Arial"/>
      <family val="2"/>
    </font>
    <font>
      <b/>
      <sz val="10"/>
      <name val="Arial"/>
      <family val="2"/>
    </font>
    <font>
      <vertAlign val="superscript"/>
      <sz val="10"/>
      <name val="Arial"/>
      <family val="2"/>
    </font>
    <font>
      <sz val="10"/>
      <name val="Arial"/>
      <family val="2"/>
    </font>
    <font>
      <b/>
      <sz val="12"/>
      <name val="Arial"/>
      <family val="2"/>
    </font>
    <font>
      <i/>
      <sz val="8"/>
      <name val="Arial"/>
      <family val="2"/>
    </font>
    <font>
      <sz val="10"/>
      <color indexed="10"/>
      <name val="Arial"/>
      <family val="2"/>
    </font>
    <font>
      <sz val="8"/>
      <name val="Arial"/>
      <family val="2"/>
    </font>
    <font>
      <b/>
      <sz val="10"/>
      <color indexed="10"/>
      <name val="Arial"/>
      <family val="2"/>
    </font>
    <font>
      <b/>
      <sz val="12"/>
      <color indexed="10"/>
      <name val="Arial"/>
      <family val="2"/>
    </font>
    <font>
      <sz val="12"/>
      <name val="Arial"/>
      <family val="2"/>
    </font>
    <font>
      <b/>
      <sz val="14"/>
      <name val="Times New Roman"/>
      <family val="1"/>
    </font>
    <font>
      <sz val="11"/>
      <name val="Calibri"/>
      <family val="2"/>
    </font>
    <font>
      <sz val="12"/>
      <name val="Times New Roman"/>
      <family val="1"/>
    </font>
    <font>
      <sz val="10"/>
      <name val="Times New Roman"/>
      <family val="1"/>
    </font>
    <font>
      <b/>
      <sz val="16"/>
      <name val="Times New Roman"/>
      <family val="1"/>
    </font>
    <font>
      <sz val="11"/>
      <name val="Times New Roman"/>
      <family val="1"/>
    </font>
    <font>
      <b/>
      <sz val="11"/>
      <name val="Times New Roman"/>
      <family val="1"/>
    </font>
    <font>
      <sz val="9"/>
      <name val="Times New Roman"/>
      <family val="1"/>
    </font>
    <font>
      <sz val="9"/>
      <name val="Arial"/>
      <family val="2"/>
    </font>
    <font>
      <sz val="11"/>
      <name val="Arial"/>
      <family val="2"/>
    </font>
    <font>
      <b/>
      <sz val="14"/>
      <name val="Arial"/>
      <family val="2"/>
    </font>
    <font>
      <b/>
      <sz val="11"/>
      <name val="Arial"/>
      <family val="2"/>
    </font>
    <font>
      <b/>
      <sz val="10"/>
      <name val="Times New Roman"/>
      <family val="1"/>
    </font>
    <font>
      <b/>
      <sz val="9"/>
      <name val="Times New Roman"/>
      <family val="1"/>
    </font>
    <font>
      <b/>
      <sz val="14"/>
      <color rgb="FFFF0000"/>
      <name val="Arial"/>
      <family val="2"/>
    </font>
    <font>
      <b/>
      <sz val="17.5"/>
      <color rgb="FFFF0000"/>
      <name val="Arial"/>
      <family val="2"/>
    </font>
    <font>
      <sz val="10"/>
      <color theme="0"/>
      <name val="Arial"/>
      <family val="2"/>
    </font>
    <font>
      <sz val="8"/>
      <color theme="0"/>
      <name val="Arial"/>
      <family val="2"/>
    </font>
    <font>
      <sz val="10"/>
      <color theme="1"/>
      <name val="Arial"/>
      <family val="2"/>
    </font>
    <font>
      <sz val="10"/>
      <color rgb="FFFF0000"/>
      <name val="Arial"/>
      <family val="2"/>
    </font>
    <font>
      <b/>
      <sz val="10"/>
      <color theme="1"/>
      <name val="Arial"/>
      <family val="2"/>
    </font>
    <font>
      <b/>
      <sz val="8"/>
      <name val="Arial"/>
      <family val="2"/>
    </font>
    <font>
      <b/>
      <sz val="10"/>
      <color rgb="FFFF0000"/>
      <name val="Arial"/>
      <family val="2"/>
    </font>
  </fonts>
  <fills count="11">
    <fill>
      <patternFill patternType="none"/>
    </fill>
    <fill>
      <patternFill patternType="gray125"/>
    </fill>
    <fill>
      <patternFill patternType="solid">
        <fgColor indexed="44"/>
        <bgColor indexed="64"/>
      </patternFill>
    </fill>
    <fill>
      <patternFill patternType="solid">
        <fgColor indexed="9"/>
        <bgColor indexed="64"/>
      </patternFill>
    </fill>
    <fill>
      <patternFill patternType="solid">
        <fgColor indexed="13"/>
        <bgColor indexed="64"/>
      </patternFill>
    </fill>
    <fill>
      <patternFill patternType="solid">
        <fgColor rgb="FFFFFF00"/>
        <bgColor indexed="64"/>
      </patternFill>
    </fill>
    <fill>
      <patternFill patternType="solid">
        <fgColor rgb="FF99CCFF"/>
        <bgColor indexed="64"/>
      </patternFill>
    </fill>
    <fill>
      <patternFill patternType="solid">
        <fgColor theme="0"/>
        <bgColor indexed="64"/>
      </patternFill>
    </fill>
    <fill>
      <patternFill patternType="solid">
        <fgColor theme="4" tint="0.79998168889431442"/>
        <bgColor indexed="64"/>
      </patternFill>
    </fill>
    <fill>
      <patternFill patternType="solid">
        <fgColor rgb="FF89C4FF"/>
        <bgColor indexed="64"/>
      </patternFill>
    </fill>
    <fill>
      <patternFill patternType="solid">
        <fgColor rgb="FFB9DCFF"/>
        <bgColor indexed="64"/>
      </patternFill>
    </fill>
  </fills>
  <borders count="72">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top style="thin">
        <color indexed="64"/>
      </top>
      <bottom/>
      <diagonal/>
    </border>
    <border>
      <left/>
      <right style="thin">
        <color indexed="64"/>
      </right>
      <top style="thin">
        <color indexed="64"/>
      </top>
      <bottom/>
      <diagonal/>
    </border>
    <border>
      <left/>
      <right style="thin">
        <color indexed="64"/>
      </right>
      <top/>
      <bottom/>
      <diagonal/>
    </border>
    <border>
      <left style="medium">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medium">
        <color indexed="64"/>
      </right>
      <top/>
      <bottom/>
      <diagonal/>
    </border>
    <border>
      <left style="medium">
        <color indexed="64"/>
      </left>
      <right style="thin">
        <color indexed="64"/>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right/>
      <top style="thick">
        <color auto="1"/>
      </top>
      <bottom/>
      <diagonal/>
    </border>
    <border>
      <left style="thin">
        <color indexed="64"/>
      </left>
      <right style="thin">
        <color indexed="64"/>
      </right>
      <top style="thin">
        <color indexed="64"/>
      </top>
      <bottom style="thick">
        <color indexed="64"/>
      </bottom>
      <diagonal/>
    </border>
    <border>
      <left/>
      <right/>
      <top/>
      <bottom style="thick">
        <color theme="4"/>
      </bottom>
      <diagonal/>
    </border>
    <border>
      <left style="medium">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thin">
        <color auto="1"/>
      </left>
      <right style="medium">
        <color auto="1"/>
      </right>
      <top style="thin">
        <color auto="1"/>
      </top>
      <bottom style="thin">
        <color auto="1"/>
      </bottom>
      <diagonal/>
    </border>
    <border>
      <left style="thin">
        <color auto="1"/>
      </left>
      <right style="medium">
        <color auto="1"/>
      </right>
      <top style="thin">
        <color auto="1"/>
      </top>
      <bottom style="medium">
        <color auto="1"/>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thick">
        <color theme="4"/>
      </top>
      <bottom/>
      <diagonal/>
    </border>
    <border>
      <left style="thin">
        <color indexed="64"/>
      </left>
      <right/>
      <top/>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diagonal/>
    </border>
    <border>
      <left style="thin">
        <color indexed="64"/>
      </left>
      <right style="thin">
        <color indexed="64"/>
      </right>
      <top style="medium">
        <color indexed="64"/>
      </top>
      <bottom style="thin">
        <color indexed="64"/>
      </bottom>
      <diagonal/>
    </border>
    <border>
      <left style="thin">
        <color theme="1" tint="4.9989318521683403E-2"/>
      </left>
      <right/>
      <top style="thin">
        <color theme="1" tint="4.9989318521683403E-2"/>
      </top>
      <bottom/>
      <diagonal/>
    </border>
    <border>
      <left/>
      <right style="thin">
        <color theme="1" tint="4.9989318521683403E-2"/>
      </right>
      <top style="thin">
        <color theme="1" tint="4.9989318521683403E-2"/>
      </top>
      <bottom/>
      <diagonal/>
    </border>
    <border>
      <left style="thin">
        <color theme="1" tint="4.9989318521683403E-2"/>
      </left>
      <right/>
      <top/>
      <bottom style="thin">
        <color theme="1" tint="4.9989318521683403E-2"/>
      </bottom>
      <diagonal/>
    </border>
    <border>
      <left style="thin">
        <color theme="1" tint="4.9989318521683403E-2"/>
      </left>
      <right style="medium">
        <color theme="1" tint="4.9989318521683403E-2"/>
      </right>
      <top style="thin">
        <color theme="1" tint="4.9989318521683403E-2"/>
      </top>
      <bottom style="thin">
        <color theme="1" tint="4.9989318521683403E-2"/>
      </bottom>
      <diagonal/>
    </border>
    <border>
      <left style="thin">
        <color theme="1" tint="4.9989318521683403E-2"/>
      </left>
      <right style="medium">
        <color theme="1" tint="4.9989318521683403E-2"/>
      </right>
      <top/>
      <bottom style="thin">
        <color theme="1" tint="4.9989318521683403E-2"/>
      </bottom>
      <diagonal/>
    </border>
    <border>
      <left style="medium">
        <color theme="1" tint="4.9989318521683403E-2"/>
      </left>
      <right/>
      <top style="medium">
        <color theme="1" tint="4.9989318521683403E-2"/>
      </top>
      <bottom style="medium">
        <color theme="1" tint="4.9989318521683403E-2"/>
      </bottom>
      <diagonal/>
    </border>
    <border>
      <left/>
      <right/>
      <top style="medium">
        <color theme="1" tint="4.9989318521683403E-2"/>
      </top>
      <bottom style="medium">
        <color theme="1" tint="4.9989318521683403E-2"/>
      </bottom>
      <diagonal/>
    </border>
    <border>
      <left/>
      <right style="medium">
        <color theme="1" tint="4.9989318521683403E-2"/>
      </right>
      <top style="medium">
        <color theme="1" tint="4.9989318521683403E-2"/>
      </top>
      <bottom style="medium">
        <color theme="1" tint="4.9989318521683403E-2"/>
      </bottom>
      <diagonal/>
    </border>
    <border>
      <left style="thin">
        <color theme="1" tint="4.9989318521683403E-2"/>
      </left>
      <right style="medium">
        <color theme="1" tint="4.9989318521683403E-2"/>
      </right>
      <top style="thin">
        <color theme="1" tint="4.9989318521683403E-2"/>
      </top>
      <bottom/>
      <diagonal/>
    </border>
    <border>
      <left style="medium">
        <color indexed="64"/>
      </left>
      <right style="medium">
        <color indexed="64"/>
      </right>
      <top style="medium">
        <color indexed="64"/>
      </top>
      <bottom style="medium">
        <color indexed="64"/>
      </bottom>
      <diagonal/>
    </border>
    <border>
      <left/>
      <right style="thin">
        <color theme="1" tint="4.9989318521683403E-2"/>
      </right>
      <top style="thin">
        <color theme="1" tint="4.9989318521683403E-2"/>
      </top>
      <bottom style="thin">
        <color theme="1" tint="4.9989318521683403E-2"/>
      </bottom>
      <diagonal/>
    </border>
    <border>
      <left style="medium">
        <color theme="1" tint="4.9989318521683403E-2"/>
      </left>
      <right/>
      <top style="medium">
        <color theme="1" tint="4.9989318521683403E-2"/>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indexed="64"/>
      </right>
      <top/>
      <bottom style="medium">
        <color indexed="64"/>
      </bottom>
      <diagonal/>
    </border>
    <border>
      <left/>
      <right style="thin">
        <color theme="1" tint="4.9989318521683403E-2"/>
      </right>
      <top style="medium">
        <color theme="1" tint="4.9989318521683403E-2"/>
      </top>
      <bottom/>
      <diagonal/>
    </border>
    <border>
      <left/>
      <right/>
      <top style="medium">
        <color indexed="64"/>
      </top>
      <bottom style="medium">
        <color indexed="64"/>
      </bottom>
      <diagonal/>
    </border>
    <border>
      <left style="thin">
        <color indexed="64"/>
      </left>
      <right/>
      <top style="thin">
        <color indexed="64"/>
      </top>
      <bottom style="medium">
        <color indexed="64"/>
      </bottom>
      <diagonal/>
    </border>
    <border>
      <left/>
      <right/>
      <top/>
      <bottom style="thin">
        <color indexed="64"/>
      </bottom>
      <diagonal/>
    </border>
    <border>
      <left/>
      <right/>
      <top style="thin">
        <color indexed="64"/>
      </top>
      <bottom style="thin">
        <color indexed="64"/>
      </bottom>
      <diagonal/>
    </border>
    <border>
      <left/>
      <right/>
      <top style="thin">
        <color indexed="64"/>
      </top>
      <bottom style="medium">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bottom style="thin">
        <color indexed="64"/>
      </bottom>
      <diagonal/>
    </border>
    <border>
      <left style="medium">
        <color indexed="64"/>
      </left>
      <right/>
      <top style="thick">
        <color auto="1"/>
      </top>
      <bottom/>
      <diagonal/>
    </border>
    <border>
      <left style="medium">
        <color indexed="64"/>
      </left>
      <right style="medium">
        <color indexed="64"/>
      </right>
      <top style="thick">
        <color indexed="64"/>
      </top>
      <bottom/>
      <diagonal/>
    </border>
    <border>
      <left style="medium">
        <color indexed="64"/>
      </left>
      <right style="thin">
        <color indexed="64"/>
      </right>
      <top style="thick">
        <color indexed="64"/>
      </top>
      <bottom style="medium">
        <color indexed="64"/>
      </bottom>
      <diagonal/>
    </border>
    <border>
      <left/>
      <right style="medium">
        <color indexed="64"/>
      </right>
      <top style="thick">
        <color indexed="64"/>
      </top>
      <bottom style="medium">
        <color indexed="64"/>
      </bottom>
      <diagonal/>
    </border>
    <border>
      <left/>
      <right/>
      <top style="thin">
        <color theme="1" tint="4.9989318521683403E-2"/>
      </top>
      <bottom/>
      <diagonal/>
    </border>
    <border>
      <left/>
      <right/>
      <top/>
      <bottom style="thin">
        <color theme="1" tint="4.9989318521683403E-2"/>
      </bottom>
      <diagonal/>
    </border>
  </borders>
  <cellStyleXfs count="1">
    <xf numFmtId="0" fontId="0" fillId="0" borderId="0"/>
  </cellStyleXfs>
  <cellXfs count="565">
    <xf numFmtId="0" fontId="0" fillId="0" borderId="0" xfId="0"/>
    <xf numFmtId="0" fontId="0" fillId="0" borderId="0" xfId="0" applyBorder="1" applyProtection="1">
      <protection hidden="1"/>
    </xf>
    <xf numFmtId="0" fontId="0" fillId="0" borderId="0" xfId="0" applyBorder="1" applyAlignment="1" applyProtection="1">
      <alignment vertical="top" wrapText="1"/>
      <protection hidden="1"/>
    </xf>
    <xf numFmtId="0" fontId="2" fillId="0" borderId="0" xfId="0" applyFont="1" applyBorder="1" applyProtection="1">
      <protection hidden="1"/>
    </xf>
    <xf numFmtId="0" fontId="0" fillId="0" borderId="0" xfId="0" applyProtection="1">
      <protection hidden="1"/>
    </xf>
    <xf numFmtId="0" fontId="8" fillId="0" borderId="1" xfId="0" applyFont="1" applyFill="1" applyBorder="1" applyProtection="1">
      <protection hidden="1"/>
    </xf>
    <xf numFmtId="0" fontId="8" fillId="0" borderId="2" xfId="0" applyFont="1" applyFill="1" applyBorder="1" applyProtection="1">
      <protection hidden="1"/>
    </xf>
    <xf numFmtId="0" fontId="8" fillId="0" borderId="3" xfId="0" applyFont="1" applyBorder="1" applyProtection="1">
      <protection hidden="1"/>
    </xf>
    <xf numFmtId="0" fontId="0" fillId="0" borderId="0" xfId="0" applyAlignment="1" applyProtection="1">
      <alignment vertical="top" wrapText="1"/>
      <protection hidden="1"/>
    </xf>
    <xf numFmtId="0" fontId="2" fillId="0" borderId="0" xfId="0" applyFont="1" applyFill="1" applyBorder="1" applyProtection="1">
      <protection hidden="1"/>
    </xf>
    <xf numFmtId="0" fontId="0" fillId="0" borderId="0" xfId="0" applyFill="1" applyBorder="1" applyProtection="1">
      <protection hidden="1"/>
    </xf>
    <xf numFmtId="0" fontId="8" fillId="0" borderId="4" xfId="0" applyFont="1" applyFill="1" applyBorder="1" applyProtection="1">
      <protection hidden="1"/>
    </xf>
    <xf numFmtId="0" fontId="8" fillId="0" borderId="0" xfId="0" applyFont="1" applyBorder="1" applyProtection="1">
      <protection hidden="1"/>
    </xf>
    <xf numFmtId="0" fontId="8" fillId="0" borderId="5" xfId="0" applyFont="1" applyBorder="1" applyProtection="1">
      <protection hidden="1"/>
    </xf>
    <xf numFmtId="0" fontId="8" fillId="0" borderId="4" xfId="0" applyFont="1" applyFill="1" applyBorder="1" applyAlignment="1" applyProtection="1">
      <alignment textRotation="69"/>
      <protection hidden="1"/>
    </xf>
    <xf numFmtId="0" fontId="8" fillId="0" borderId="5" xfId="0" applyFont="1" applyFill="1" applyBorder="1" applyAlignment="1" applyProtection="1">
      <alignment textRotation="69"/>
      <protection hidden="1"/>
    </xf>
    <xf numFmtId="0" fontId="0" fillId="0" borderId="0" xfId="0" applyFill="1" applyBorder="1" applyAlignment="1" applyProtection="1">
      <alignment textRotation="69"/>
      <protection hidden="1"/>
    </xf>
    <xf numFmtId="0" fontId="0" fillId="0" borderId="0" xfId="0" applyFill="1" applyBorder="1" applyAlignment="1" applyProtection="1">
      <alignment vertical="top" textRotation="69" wrapText="1"/>
      <protection hidden="1"/>
    </xf>
    <xf numFmtId="166" fontId="8" fillId="0" borderId="5" xfId="0" applyNumberFormat="1" applyFont="1" applyFill="1" applyBorder="1" applyProtection="1">
      <protection hidden="1"/>
    </xf>
    <xf numFmtId="166" fontId="0" fillId="0" borderId="0" xfId="0" applyNumberFormat="1" applyFill="1" applyBorder="1" applyProtection="1">
      <protection hidden="1"/>
    </xf>
    <xf numFmtId="166" fontId="0" fillId="0" borderId="0" xfId="0" applyNumberFormat="1" applyFill="1" applyBorder="1" applyAlignment="1" applyProtection="1">
      <alignment vertical="top" wrapText="1"/>
      <protection hidden="1"/>
    </xf>
    <xf numFmtId="0" fontId="8" fillId="0" borderId="6" xfId="0" applyFont="1" applyFill="1" applyBorder="1" applyProtection="1">
      <protection hidden="1"/>
    </xf>
    <xf numFmtId="0" fontId="8" fillId="0" borderId="7" xfId="0" applyFont="1" applyBorder="1" applyProtection="1">
      <protection hidden="1"/>
    </xf>
    <xf numFmtId="166" fontId="8" fillId="0" borderId="8" xfId="0" applyNumberFormat="1" applyFont="1" applyFill="1" applyBorder="1" applyProtection="1">
      <protection hidden="1"/>
    </xf>
    <xf numFmtId="166" fontId="5" fillId="0" borderId="0" xfId="0" applyNumberFormat="1" applyFont="1" applyFill="1" applyBorder="1" applyProtection="1">
      <protection hidden="1"/>
    </xf>
    <xf numFmtId="0" fontId="0" fillId="0" borderId="0" xfId="0" applyProtection="1"/>
    <xf numFmtId="0" fontId="2" fillId="0" borderId="0" xfId="0" applyFont="1" applyProtection="1"/>
    <xf numFmtId="0" fontId="0" fillId="0" borderId="0" xfId="0" applyFill="1" applyBorder="1" applyProtection="1"/>
    <xf numFmtId="0" fontId="0" fillId="0" borderId="0" xfId="0" applyBorder="1" applyProtection="1"/>
    <xf numFmtId="0" fontId="2" fillId="0" borderId="0" xfId="0" applyFont="1" applyBorder="1" applyProtection="1"/>
    <xf numFmtId="0" fontId="4" fillId="0" borderId="0" xfId="0" applyFont="1" applyProtection="1"/>
    <xf numFmtId="0" fontId="0" fillId="0" borderId="0" xfId="0" applyAlignment="1" applyProtection="1">
      <alignment vertical="top" wrapText="1"/>
    </xf>
    <xf numFmtId="14" fontId="6" fillId="0" borderId="0" xfId="0" applyNumberFormat="1" applyFont="1" applyProtection="1"/>
    <xf numFmtId="14" fontId="2" fillId="0" borderId="1" xfId="0" applyNumberFormat="1" applyFont="1" applyBorder="1" applyProtection="1"/>
    <xf numFmtId="0" fontId="0" fillId="0" borderId="2" xfId="0" applyBorder="1" applyProtection="1"/>
    <xf numFmtId="0" fontId="0" fillId="0" borderId="3" xfId="0" applyBorder="1" applyProtection="1"/>
    <xf numFmtId="0" fontId="0" fillId="0" borderId="11" xfId="0" applyBorder="1" applyProtection="1"/>
    <xf numFmtId="0" fontId="0" fillId="0" borderId="12" xfId="0" applyBorder="1" applyAlignment="1" applyProtection="1">
      <alignment horizontal="right"/>
    </xf>
    <xf numFmtId="0" fontId="0" fillId="0" borderId="5" xfId="0" applyBorder="1" applyProtection="1"/>
    <xf numFmtId="0" fontId="0" fillId="0" borderId="4" xfId="0" applyBorder="1" applyProtection="1"/>
    <xf numFmtId="0" fontId="0" fillId="0" borderId="13" xfId="0" applyBorder="1" applyAlignment="1" applyProtection="1">
      <alignment horizontal="right"/>
    </xf>
    <xf numFmtId="0" fontId="0" fillId="0" borderId="14" xfId="0" applyBorder="1" applyProtection="1"/>
    <xf numFmtId="0" fontId="2" fillId="0" borderId="15" xfId="0" applyFont="1" applyBorder="1" applyAlignment="1" applyProtection="1">
      <alignment horizontal="right"/>
    </xf>
    <xf numFmtId="0" fontId="2" fillId="0" borderId="5" xfId="0" applyFont="1" applyBorder="1" applyProtection="1"/>
    <xf numFmtId="166" fontId="0" fillId="0" borderId="0" xfId="0" applyNumberFormat="1" applyBorder="1" applyProtection="1"/>
    <xf numFmtId="0" fontId="0" fillId="0" borderId="16" xfId="0" applyFill="1" applyBorder="1" applyAlignment="1" applyProtection="1">
      <alignment horizontal="center"/>
    </xf>
    <xf numFmtId="166" fontId="0" fillId="0" borderId="16" xfId="0" applyNumberFormat="1" applyBorder="1" applyAlignment="1" applyProtection="1">
      <alignment horizontal="center"/>
    </xf>
    <xf numFmtId="0" fontId="0" fillId="0" borderId="17" xfId="0" applyBorder="1" applyAlignment="1" applyProtection="1">
      <alignment horizontal="center"/>
    </xf>
    <xf numFmtId="0" fontId="0" fillId="0" borderId="9" xfId="0" applyBorder="1" applyProtection="1"/>
    <xf numFmtId="0" fontId="0" fillId="0" borderId="6" xfId="0" applyBorder="1" applyProtection="1"/>
    <xf numFmtId="0" fontId="2" fillId="0" borderId="7" xfId="0" applyFont="1" applyBorder="1" applyAlignment="1" applyProtection="1">
      <alignment horizontal="right"/>
    </xf>
    <xf numFmtId="0" fontId="2" fillId="0" borderId="8" xfId="0" applyFont="1" applyBorder="1" applyProtection="1"/>
    <xf numFmtId="0" fontId="0" fillId="0" borderId="0" xfId="0" applyBorder="1" applyAlignment="1" applyProtection="1">
      <alignment vertical="top" wrapText="1"/>
    </xf>
    <xf numFmtId="0" fontId="2" fillId="0" borderId="1" xfId="0" applyFont="1" applyBorder="1" applyProtection="1"/>
    <xf numFmtId="0" fontId="0" fillId="0" borderId="9" xfId="0" applyBorder="1" applyAlignment="1" applyProtection="1">
      <alignment horizontal="right"/>
    </xf>
    <xf numFmtId="0" fontId="0" fillId="0" borderId="18" xfId="0" applyBorder="1" applyProtection="1"/>
    <xf numFmtId="0" fontId="0" fillId="0" borderId="19" xfId="0" applyBorder="1" applyProtection="1"/>
    <xf numFmtId="0" fontId="0" fillId="0" borderId="8" xfId="0" applyBorder="1" applyProtection="1"/>
    <xf numFmtId="0" fontId="0" fillId="0" borderId="19" xfId="0" applyFill="1" applyBorder="1" applyProtection="1"/>
    <xf numFmtId="0" fontId="0" fillId="0" borderId="7" xfId="0" applyFill="1" applyBorder="1" applyProtection="1"/>
    <xf numFmtId="0" fontId="0" fillId="0" borderId="21" xfId="0" applyBorder="1" applyProtection="1"/>
    <xf numFmtId="166" fontId="2" fillId="0" borderId="0" xfId="0" applyNumberFormat="1" applyFont="1" applyAlignment="1" applyProtection="1">
      <alignment vertical="top" wrapText="1"/>
    </xf>
    <xf numFmtId="166" fontId="2" fillId="0" borderId="0" xfId="0" applyNumberFormat="1" applyFont="1" applyBorder="1" applyProtection="1"/>
    <xf numFmtId="166" fontId="0" fillId="0" borderId="0" xfId="0" applyNumberFormat="1" applyProtection="1"/>
    <xf numFmtId="0" fontId="0" fillId="0" borderId="0" xfId="0" applyBorder="1" applyAlignment="1" applyProtection="1">
      <alignment horizontal="left"/>
    </xf>
    <xf numFmtId="166" fontId="0" fillId="0" borderId="7" xfId="0" applyNumberFormat="1" applyBorder="1" applyProtection="1"/>
    <xf numFmtId="0" fontId="0" fillId="0" borderId="7" xfId="0" applyBorder="1" applyAlignment="1" applyProtection="1">
      <alignment horizontal="left"/>
    </xf>
    <xf numFmtId="0" fontId="0" fillId="0" borderId="0" xfId="0" applyFill="1" applyBorder="1" applyAlignment="1" applyProtection="1">
      <alignment vertical="top" wrapText="1"/>
    </xf>
    <xf numFmtId="0" fontId="2" fillId="0" borderId="0" xfId="0" applyFont="1" applyFill="1" applyBorder="1" applyAlignment="1" applyProtection="1">
      <alignment wrapText="1" shrinkToFit="1"/>
    </xf>
    <xf numFmtId="0" fontId="0" fillId="0" borderId="0" xfId="0" applyFill="1" applyBorder="1" applyAlignment="1" applyProtection="1">
      <alignment vertical="top" wrapText="1" shrinkToFit="1"/>
    </xf>
    <xf numFmtId="0" fontId="0" fillId="0" borderId="0" xfId="0" applyFill="1" applyBorder="1" applyAlignment="1" applyProtection="1">
      <alignment wrapText="1" shrinkToFit="1"/>
    </xf>
    <xf numFmtId="0" fontId="0" fillId="0" borderId="0" xfId="0" applyBorder="1" applyAlignment="1" applyProtection="1">
      <alignment wrapText="1" shrinkToFit="1"/>
    </xf>
    <xf numFmtId="0" fontId="0" fillId="0" borderId="0" xfId="0" applyBorder="1" applyAlignment="1" applyProtection="1">
      <alignment horizontal="right"/>
    </xf>
    <xf numFmtId="166" fontId="0" fillId="2" borderId="9" xfId="0" applyNumberFormat="1" applyFill="1" applyBorder="1" applyProtection="1">
      <protection locked="0"/>
    </xf>
    <xf numFmtId="164" fontId="7" fillId="0" borderId="9" xfId="0" applyNumberFormat="1" applyFont="1" applyBorder="1" applyAlignment="1" applyProtection="1">
      <alignment horizontal="right"/>
      <protection locked="0"/>
    </xf>
    <xf numFmtId="0" fontId="0" fillId="2" borderId="18" xfId="0" applyFill="1" applyBorder="1" applyProtection="1">
      <protection locked="0"/>
    </xf>
    <xf numFmtId="0" fontId="0" fillId="2" borderId="21" xfId="0" applyFill="1" applyBorder="1" applyProtection="1">
      <protection locked="0"/>
    </xf>
    <xf numFmtId="0" fontId="0" fillId="2" borderId="19" xfId="0" applyFill="1" applyBorder="1" applyProtection="1">
      <protection locked="0"/>
    </xf>
    <xf numFmtId="0" fontId="0" fillId="0" borderId="0" xfId="0" applyProtection="1">
      <protection locked="0"/>
    </xf>
    <xf numFmtId="0" fontId="0" fillId="0" borderId="12" xfId="0" applyBorder="1" applyProtection="1">
      <protection locked="0"/>
    </xf>
    <xf numFmtId="0" fontId="0" fillId="0" borderId="13" xfId="0" applyBorder="1" applyProtection="1">
      <protection locked="0"/>
    </xf>
    <xf numFmtId="0" fontId="0" fillId="0" borderId="15" xfId="0" applyBorder="1" applyProtection="1">
      <protection locked="0"/>
    </xf>
    <xf numFmtId="0" fontId="9" fillId="0" borderId="0" xfId="0" applyFont="1" applyAlignment="1" applyProtection="1">
      <alignment vertical="top" wrapText="1"/>
    </xf>
    <xf numFmtId="0" fontId="0" fillId="0" borderId="0" xfId="0" applyAlignment="1" applyProtection="1"/>
    <xf numFmtId="0" fontId="0" fillId="0" borderId="0" xfId="0" applyAlignment="1" applyProtection="1">
      <alignment vertical="center"/>
    </xf>
    <xf numFmtId="0" fontId="0" fillId="0" borderId="0" xfId="0" applyAlignment="1">
      <alignment vertical="center"/>
    </xf>
    <xf numFmtId="0" fontId="0" fillId="0" borderId="9" xfId="0" applyBorder="1" applyAlignment="1" applyProtection="1">
      <alignment vertical="center"/>
    </xf>
    <xf numFmtId="0" fontId="0" fillId="0" borderId="10" xfId="0" applyBorder="1" applyAlignment="1" applyProtection="1">
      <alignment vertical="center"/>
    </xf>
    <xf numFmtId="0" fontId="2" fillId="0" borderId="9" xfId="0" applyFont="1" applyBorder="1" applyAlignment="1" applyProtection="1">
      <alignment vertical="center"/>
    </xf>
    <xf numFmtId="0" fontId="2" fillId="0" borderId="10" xfId="0" applyFont="1" applyBorder="1" applyAlignment="1" applyProtection="1">
      <alignment vertical="center"/>
    </xf>
    <xf numFmtId="0" fontId="0" fillId="0" borderId="10" xfId="0" applyBorder="1" applyAlignment="1" applyProtection="1">
      <alignment vertical="center"/>
      <protection locked="0"/>
    </xf>
    <xf numFmtId="0" fontId="4" fillId="0" borderId="9" xfId="0" applyFont="1" applyBorder="1" applyAlignment="1" applyProtection="1">
      <alignment vertical="center"/>
      <protection locked="0"/>
    </xf>
    <xf numFmtId="0" fontId="2" fillId="0" borderId="0" xfId="0" applyFont="1" applyAlignment="1">
      <alignment vertical="center"/>
    </xf>
    <xf numFmtId="0" fontId="18" fillId="0" borderId="0" xfId="0" applyFont="1" applyAlignment="1">
      <alignment horizontal="center" vertical="center" wrapText="1"/>
    </xf>
    <xf numFmtId="0" fontId="17" fillId="0" borderId="0" xfId="0" applyFont="1" applyAlignment="1">
      <alignment horizontal="center" vertical="center" wrapText="1"/>
    </xf>
    <xf numFmtId="0" fontId="14" fillId="0" borderId="0" xfId="0" applyFont="1" applyAlignment="1">
      <alignment vertical="center"/>
    </xf>
    <xf numFmtId="0" fontId="12" fillId="0" borderId="0" xfId="0" applyFont="1" applyAlignment="1">
      <alignment vertical="center"/>
    </xf>
    <xf numFmtId="0" fontId="14" fillId="0" borderId="0" xfId="0" applyFont="1" applyAlignment="1">
      <alignment vertical="center" wrapText="1"/>
    </xf>
    <xf numFmtId="0" fontId="13" fillId="0" borderId="0" xfId="0" applyFont="1" applyAlignment="1">
      <alignment vertical="center" wrapText="1"/>
    </xf>
    <xf numFmtId="0" fontId="0" fillId="0" borderId="0" xfId="0" applyAlignment="1">
      <alignment horizontal="left" vertical="center"/>
    </xf>
    <xf numFmtId="167" fontId="0" fillId="0" borderId="9" xfId="0" applyNumberFormat="1" applyBorder="1" applyAlignment="1" applyProtection="1">
      <alignment horizontal="center" vertical="center"/>
    </xf>
    <xf numFmtId="0" fontId="2" fillId="0" borderId="0" xfId="0" applyFont="1" applyBorder="1" applyAlignment="1" applyProtection="1">
      <alignment vertical="center"/>
    </xf>
    <xf numFmtId="0" fontId="0" fillId="0" borderId="0" xfId="0" applyBorder="1" applyAlignment="1" applyProtection="1">
      <alignment vertical="center"/>
    </xf>
    <xf numFmtId="0" fontId="1" fillId="0" borderId="0" xfId="0" applyFont="1" applyAlignment="1" applyProtection="1">
      <alignment vertical="center"/>
    </xf>
    <xf numFmtId="0" fontId="0" fillId="0" borderId="0" xfId="0" applyAlignment="1" applyProtection="1">
      <alignment horizontal="center" vertical="center"/>
    </xf>
    <xf numFmtId="49" fontId="1" fillId="2" borderId="9" xfId="0" applyNumberFormat="1" applyFont="1" applyFill="1" applyBorder="1" applyAlignment="1" applyProtection="1">
      <alignment horizontal="center" vertical="center"/>
      <protection locked="0"/>
    </xf>
    <xf numFmtId="0" fontId="2" fillId="0" borderId="0" xfId="0" applyFont="1" applyAlignment="1" applyProtection="1">
      <alignment vertical="center"/>
    </xf>
    <xf numFmtId="0" fontId="2" fillId="0" borderId="0" xfId="0" applyFont="1" applyAlignment="1" applyProtection="1">
      <alignment horizontal="center" vertical="center"/>
    </xf>
    <xf numFmtId="164" fontId="0" fillId="2" borderId="9" xfId="0" applyNumberFormat="1" applyFill="1" applyBorder="1" applyAlignment="1" applyProtection="1">
      <alignment horizontal="right" vertical="center"/>
      <protection locked="0"/>
    </xf>
    <xf numFmtId="0" fontId="3" fillId="0" borderId="0" xfId="0" applyFont="1" applyBorder="1" applyAlignment="1" applyProtection="1">
      <alignment vertical="center"/>
    </xf>
    <xf numFmtId="0" fontId="3" fillId="0" borderId="0" xfId="0" applyFont="1" applyAlignment="1" applyProtection="1">
      <alignment vertical="center"/>
    </xf>
    <xf numFmtId="164" fontId="0" fillId="0" borderId="0" xfId="0" applyNumberFormat="1" applyAlignment="1" applyProtection="1">
      <alignment horizontal="right" vertical="center"/>
    </xf>
    <xf numFmtId="0" fontId="4" fillId="0" borderId="0" xfId="0" applyFont="1" applyAlignment="1" applyProtection="1">
      <alignment vertical="center"/>
    </xf>
    <xf numFmtId="164" fontId="4" fillId="2" borderId="9" xfId="0" applyNumberFormat="1" applyFont="1" applyFill="1" applyBorder="1" applyAlignment="1" applyProtection="1">
      <alignment horizontal="right" vertical="center"/>
      <protection locked="0"/>
    </xf>
    <xf numFmtId="0" fontId="4" fillId="0" borderId="0" xfId="0" applyFont="1" applyBorder="1" applyAlignment="1" applyProtection="1">
      <alignment vertical="center"/>
    </xf>
    <xf numFmtId="164" fontId="4" fillId="0" borderId="0" xfId="0" applyNumberFormat="1" applyFont="1" applyAlignment="1" applyProtection="1">
      <alignment horizontal="right" vertical="center"/>
    </xf>
    <xf numFmtId="164" fontId="4" fillId="0" borderId="0" xfId="0" applyNumberFormat="1" applyFont="1" applyFill="1" applyBorder="1" applyAlignment="1" applyProtection="1">
      <alignment horizontal="right" vertical="center"/>
    </xf>
    <xf numFmtId="0" fontId="4" fillId="0" borderId="0" xfId="0" applyFont="1" applyFill="1" applyBorder="1" applyAlignment="1" applyProtection="1">
      <alignment vertical="center"/>
    </xf>
    <xf numFmtId="0" fontId="4" fillId="0" borderId="0" xfId="0" applyFont="1" applyFill="1" applyAlignment="1" applyProtection="1">
      <alignment vertical="center"/>
    </xf>
    <xf numFmtId="164" fontId="0" fillId="3" borderId="9" xfId="0" applyNumberFormat="1" applyFill="1" applyBorder="1" applyAlignment="1" applyProtection="1">
      <alignment horizontal="right" vertical="center"/>
    </xf>
    <xf numFmtId="164" fontId="0" fillId="0" borderId="9" xfId="0" applyNumberFormat="1" applyBorder="1" applyAlignment="1" applyProtection="1">
      <alignment horizontal="right" vertical="center"/>
    </xf>
    <xf numFmtId="164" fontId="0" fillId="4" borderId="9" xfId="0" applyNumberFormat="1" applyFill="1" applyBorder="1" applyAlignment="1" applyProtection="1">
      <alignment horizontal="right" vertical="center"/>
    </xf>
    <xf numFmtId="0" fontId="10" fillId="0" borderId="0" xfId="0" applyFont="1" applyAlignment="1" applyProtection="1">
      <alignment vertical="center"/>
    </xf>
    <xf numFmtId="0" fontId="0" fillId="0" borderId="0" xfId="0" applyAlignment="1" applyProtection="1">
      <alignment horizontal="right" vertical="center"/>
      <protection locked="0"/>
    </xf>
    <xf numFmtId="0" fontId="11" fillId="0" borderId="0" xfId="0" applyFont="1" applyAlignment="1" applyProtection="1">
      <alignment vertical="center"/>
    </xf>
    <xf numFmtId="2" fontId="0" fillId="2" borderId="9" xfId="0" applyNumberFormat="1" applyFill="1" applyBorder="1" applyAlignment="1" applyProtection="1">
      <alignment horizontal="right" vertical="center"/>
      <protection locked="0"/>
    </xf>
    <xf numFmtId="2" fontId="0" fillId="3" borderId="9" xfId="0" applyNumberFormat="1" applyFill="1" applyBorder="1" applyAlignment="1" applyProtection="1">
      <alignment horizontal="right" vertical="center"/>
    </xf>
    <xf numFmtId="0" fontId="0" fillId="2" borderId="9" xfId="0" applyFill="1" applyBorder="1" applyAlignment="1" applyProtection="1">
      <alignment horizontal="right" vertical="center"/>
      <protection locked="0"/>
    </xf>
    <xf numFmtId="0" fontId="1" fillId="0" borderId="0" xfId="0" applyFont="1" applyFill="1" applyBorder="1" applyAlignment="1" applyProtection="1">
      <alignment horizontal="right" vertical="center"/>
    </xf>
    <xf numFmtId="2" fontId="0" fillId="3" borderId="0" xfId="0" applyNumberFormat="1" applyFill="1" applyBorder="1" applyAlignment="1" applyProtection="1">
      <alignment horizontal="right" vertical="center"/>
    </xf>
    <xf numFmtId="0" fontId="5" fillId="0" borderId="0" xfId="0" applyFont="1" applyFill="1" applyBorder="1" applyAlignment="1" applyProtection="1">
      <alignment vertical="center"/>
    </xf>
    <xf numFmtId="0" fontId="0" fillId="2" borderId="9" xfId="0" applyFill="1" applyBorder="1" applyAlignment="1" applyProtection="1">
      <alignment vertical="center"/>
      <protection locked="0"/>
    </xf>
    <xf numFmtId="0" fontId="0" fillId="0" borderId="0" xfId="0" applyBorder="1" applyAlignment="1">
      <alignment vertical="center"/>
    </xf>
    <xf numFmtId="0" fontId="0" fillId="0" borderId="0" xfId="0" applyBorder="1" applyAlignment="1" applyProtection="1">
      <alignment vertical="center"/>
      <protection locked="0"/>
    </xf>
    <xf numFmtId="0" fontId="2" fillId="0" borderId="0" xfId="0" applyFont="1" applyAlignment="1" applyProtection="1">
      <alignment horizontal="left" vertical="center"/>
    </xf>
    <xf numFmtId="0" fontId="1" fillId="0" borderId="9" xfId="0" applyFont="1" applyBorder="1" applyAlignment="1" applyProtection="1">
      <alignment vertical="center"/>
    </xf>
    <xf numFmtId="0" fontId="1" fillId="0" borderId="0" xfId="0" applyFont="1" applyAlignment="1">
      <alignment vertical="center"/>
    </xf>
    <xf numFmtId="0" fontId="2" fillId="0" borderId="0" xfId="0" applyFont="1" applyFill="1" applyBorder="1" applyAlignment="1" applyProtection="1">
      <alignment horizontal="left" vertical="center"/>
    </xf>
    <xf numFmtId="0" fontId="0" fillId="0" borderId="0" xfId="0" applyAlignment="1" applyProtection="1">
      <alignment horizontal="left"/>
    </xf>
    <xf numFmtId="0" fontId="0" fillId="0" borderId="0" xfId="0" applyAlignment="1" applyProtection="1">
      <alignment horizontal="left" vertical="center"/>
    </xf>
    <xf numFmtId="0" fontId="1" fillId="0" borderId="9" xfId="0" quotePrefix="1" applyFont="1" applyBorder="1" applyAlignment="1" applyProtection="1">
      <alignment horizontal="center" vertical="center"/>
    </xf>
    <xf numFmtId="0" fontId="1" fillId="0" borderId="9" xfId="0" quotePrefix="1" applyFont="1" applyBorder="1" applyAlignment="1" applyProtection="1">
      <alignment vertical="center"/>
    </xf>
    <xf numFmtId="0" fontId="1" fillId="0" borderId="0" xfId="0" applyFont="1" applyBorder="1" applyAlignment="1">
      <alignment vertical="center" wrapText="1"/>
    </xf>
    <xf numFmtId="0" fontId="22" fillId="0" borderId="0" xfId="0" applyFont="1" applyBorder="1" applyAlignment="1">
      <alignment vertical="center"/>
    </xf>
    <xf numFmtId="0" fontId="5" fillId="0" borderId="0" xfId="0" applyFont="1" applyBorder="1" applyAlignment="1">
      <alignment vertical="center"/>
    </xf>
    <xf numFmtId="0" fontId="5" fillId="0" borderId="0" xfId="0" applyFont="1" applyBorder="1" applyAlignment="1">
      <alignment vertical="center" wrapText="1"/>
    </xf>
    <xf numFmtId="0" fontId="2" fillId="0" borderId="28" xfId="0" applyFont="1" applyBorder="1" applyAlignment="1">
      <alignment horizontal="right" vertical="center" wrapText="1"/>
    </xf>
    <xf numFmtId="0" fontId="1" fillId="0" borderId="29" xfId="0" applyFont="1" applyBorder="1" applyAlignment="1">
      <alignment horizontal="right" vertical="center" wrapText="1"/>
    </xf>
    <xf numFmtId="0" fontId="2" fillId="0" borderId="23" xfId="0" applyFont="1" applyBorder="1" applyAlignment="1">
      <alignment horizontal="right" vertical="center" wrapText="1"/>
    </xf>
    <xf numFmtId="0" fontId="1" fillId="0" borderId="30" xfId="0" applyFont="1" applyBorder="1" applyAlignment="1">
      <alignment horizontal="right" vertical="center" wrapText="1"/>
    </xf>
    <xf numFmtId="14" fontId="1" fillId="0" borderId="30" xfId="0" applyNumberFormat="1" applyFont="1" applyBorder="1" applyAlignment="1">
      <alignment horizontal="right" vertical="center" wrapText="1"/>
    </xf>
    <xf numFmtId="0" fontId="2" fillId="0" borderId="24" xfId="0" applyFont="1" applyBorder="1" applyAlignment="1">
      <alignment horizontal="right" vertical="center" wrapText="1"/>
    </xf>
    <xf numFmtId="0" fontId="1" fillId="0" borderId="31" xfId="0" applyFont="1" applyBorder="1" applyAlignment="1">
      <alignment horizontal="right" vertical="center" wrapText="1"/>
    </xf>
    <xf numFmtId="0" fontId="0" fillId="0" borderId="27" xfId="0" applyBorder="1" applyAlignment="1">
      <alignment vertical="center"/>
    </xf>
    <xf numFmtId="0" fontId="0" fillId="0" borderId="18" xfId="0" applyBorder="1" applyAlignment="1" applyProtection="1">
      <alignment wrapText="1"/>
    </xf>
    <xf numFmtId="0" fontId="2" fillId="0" borderId="1" xfId="0" applyFont="1" applyBorder="1" applyAlignment="1" applyProtection="1">
      <alignment horizontal="right"/>
    </xf>
    <xf numFmtId="0" fontId="2" fillId="0" borderId="6" xfId="0" applyFont="1" applyBorder="1" applyAlignment="1" applyProtection="1">
      <alignment horizontal="right"/>
    </xf>
    <xf numFmtId="0" fontId="0" fillId="0" borderId="0" xfId="0" applyAlignment="1" applyProtection="1">
      <alignment vertical="center"/>
      <protection locked="0"/>
    </xf>
    <xf numFmtId="0" fontId="23" fillId="0" borderId="28" xfId="0" applyFont="1" applyBorder="1" applyAlignment="1" applyProtection="1">
      <alignment horizontal="right" vertical="center" wrapText="1"/>
    </xf>
    <xf numFmtId="0" fontId="21" fillId="0" borderId="29" xfId="0" applyFont="1" applyBorder="1" applyAlignment="1" applyProtection="1">
      <alignment horizontal="right" vertical="center" wrapText="1"/>
    </xf>
    <xf numFmtId="0" fontId="23" fillId="0" borderId="23" xfId="0" applyFont="1" applyBorder="1" applyAlignment="1" applyProtection="1">
      <alignment horizontal="right" vertical="center" wrapText="1"/>
    </xf>
    <xf numFmtId="0" fontId="21" fillId="0" borderId="30" xfId="0" applyFont="1" applyBorder="1" applyAlignment="1" applyProtection="1">
      <alignment horizontal="right" vertical="center" wrapText="1"/>
    </xf>
    <xf numFmtId="14" fontId="21" fillId="0" borderId="30" xfId="0" applyNumberFormat="1" applyFont="1" applyBorder="1" applyAlignment="1" applyProtection="1">
      <alignment horizontal="right" vertical="center" wrapText="1"/>
    </xf>
    <xf numFmtId="0" fontId="23" fillId="0" borderId="24" xfId="0" applyFont="1" applyBorder="1" applyAlignment="1" applyProtection="1">
      <alignment horizontal="right" vertical="center" wrapText="1"/>
    </xf>
    <xf numFmtId="0" fontId="21" fillId="0" borderId="31" xfId="0" applyFont="1" applyBorder="1" applyAlignment="1" applyProtection="1">
      <alignment horizontal="right" vertical="center" wrapText="1"/>
    </xf>
    <xf numFmtId="0" fontId="0" fillId="0" borderId="25" xfId="0" applyBorder="1" applyAlignment="1" applyProtection="1">
      <alignment vertical="center"/>
    </xf>
    <xf numFmtId="0" fontId="2" fillId="0" borderId="7" xfId="0" applyFont="1" applyBorder="1" applyAlignment="1" applyProtection="1">
      <alignment vertical="center"/>
      <protection locked="0"/>
    </xf>
    <xf numFmtId="0" fontId="2" fillId="0" borderId="7" xfId="0" applyFont="1" applyBorder="1" applyProtection="1">
      <protection locked="0"/>
    </xf>
    <xf numFmtId="0" fontId="0" fillId="0" borderId="25" xfId="0" applyBorder="1" applyProtection="1">
      <protection locked="0"/>
    </xf>
    <xf numFmtId="0" fontId="0" fillId="0" borderId="2" xfId="0" applyBorder="1" applyProtection="1">
      <protection locked="0"/>
    </xf>
    <xf numFmtId="0" fontId="0" fillId="0" borderId="3" xfId="0" applyBorder="1" applyProtection="1">
      <protection locked="0"/>
    </xf>
    <xf numFmtId="0" fontId="0" fillId="0" borderId="11" xfId="0" applyBorder="1" applyProtection="1">
      <protection locked="0"/>
    </xf>
    <xf numFmtId="0" fontId="0" fillId="0" borderId="5" xfId="0" applyBorder="1" applyProtection="1">
      <protection locked="0"/>
    </xf>
    <xf numFmtId="0" fontId="9" fillId="0" borderId="0" xfId="0" applyFont="1" applyProtection="1">
      <protection locked="0"/>
    </xf>
    <xf numFmtId="0" fontId="0" fillId="0" borderId="4" xfId="0" applyBorder="1" applyProtection="1">
      <protection locked="0"/>
    </xf>
    <xf numFmtId="166" fontId="0" fillId="0" borderId="9" xfId="0" applyNumberFormat="1" applyFill="1" applyBorder="1" applyProtection="1">
      <protection locked="0"/>
    </xf>
    <xf numFmtId="0" fontId="0" fillId="0" borderId="14" xfId="0" applyBorder="1" applyProtection="1">
      <protection locked="0"/>
    </xf>
    <xf numFmtId="166" fontId="2" fillId="0" borderId="9" xfId="0" applyNumberFormat="1" applyFont="1" applyBorder="1" applyProtection="1">
      <protection locked="0"/>
    </xf>
    <xf numFmtId="0" fontId="0" fillId="0" borderId="0" xfId="0" applyBorder="1" applyProtection="1">
      <protection locked="0"/>
    </xf>
    <xf numFmtId="166" fontId="0" fillId="0" borderId="0" xfId="0" applyNumberFormat="1" applyBorder="1" applyProtection="1">
      <protection locked="0"/>
    </xf>
    <xf numFmtId="164" fontId="0" fillId="0" borderId="9" xfId="0" applyNumberFormat="1" applyBorder="1" applyProtection="1">
      <protection locked="0"/>
    </xf>
    <xf numFmtId="0" fontId="0" fillId="0" borderId="0" xfId="0" applyFill="1" applyBorder="1" applyProtection="1">
      <protection locked="0"/>
    </xf>
    <xf numFmtId="0" fontId="0" fillId="0" borderId="6" xfId="0" applyBorder="1" applyProtection="1">
      <protection locked="0"/>
    </xf>
    <xf numFmtId="0" fontId="6" fillId="0" borderId="0" xfId="0" applyFont="1" applyBorder="1" applyProtection="1">
      <protection locked="0"/>
    </xf>
    <xf numFmtId="0" fontId="7" fillId="0" borderId="5" xfId="0" applyFont="1" applyBorder="1" applyProtection="1">
      <protection locked="0"/>
    </xf>
    <xf numFmtId="0" fontId="0" fillId="0" borderId="8" xfId="0" applyBorder="1" applyProtection="1">
      <protection locked="0"/>
    </xf>
    <xf numFmtId="1" fontId="0" fillId="0" borderId="21" xfId="0" applyNumberFormat="1" applyBorder="1" applyProtection="1">
      <protection locked="0"/>
    </xf>
    <xf numFmtId="1" fontId="0" fillId="0" borderId="19" xfId="0" applyNumberFormat="1" applyBorder="1" applyProtection="1">
      <protection locked="0"/>
    </xf>
    <xf numFmtId="0" fontId="0" fillId="0" borderId="7" xfId="0" applyBorder="1" applyProtection="1">
      <protection locked="0"/>
    </xf>
    <xf numFmtId="1" fontId="2" fillId="0" borderId="8" xfId="0" applyNumberFormat="1" applyFont="1" applyBorder="1" applyProtection="1">
      <protection locked="0"/>
    </xf>
    <xf numFmtId="0" fontId="0" fillId="0" borderId="12" xfId="0" applyBorder="1" applyProtection="1"/>
    <xf numFmtId="0" fontId="0" fillId="0" borderId="15" xfId="0" applyBorder="1" applyProtection="1"/>
    <xf numFmtId="0" fontId="0" fillId="0" borderId="22" xfId="0" applyBorder="1" applyProtection="1"/>
    <xf numFmtId="0" fontId="0" fillId="0" borderId="23" xfId="0" applyBorder="1" applyProtection="1"/>
    <xf numFmtId="0" fontId="0" fillId="0" borderId="24" xfId="0" applyBorder="1" applyProtection="1"/>
    <xf numFmtId="0" fontId="0" fillId="0" borderId="25" xfId="0" applyBorder="1" applyProtection="1"/>
    <xf numFmtId="1" fontId="0" fillId="0" borderId="18" xfId="0" applyNumberFormat="1" applyBorder="1" applyProtection="1">
      <protection locked="0"/>
    </xf>
    <xf numFmtId="0" fontId="11" fillId="0" borderId="0" xfId="0" applyFont="1" applyAlignment="1" applyProtection="1">
      <alignment horizontal="center" vertical="center"/>
    </xf>
    <xf numFmtId="0" fontId="18" fillId="0" borderId="0" xfId="0" applyFont="1" applyAlignment="1" applyProtection="1">
      <alignment horizontal="center" vertical="center" wrapText="1"/>
      <protection locked="0"/>
    </xf>
    <xf numFmtId="0" fontId="17" fillId="0" borderId="0" xfId="0" applyFont="1" applyAlignment="1" applyProtection="1">
      <alignment horizontal="center" vertical="center" wrapText="1"/>
      <protection locked="0"/>
    </xf>
    <xf numFmtId="0" fontId="1" fillId="0" borderId="23" xfId="0" applyFont="1" applyBorder="1" applyProtection="1"/>
    <xf numFmtId="164" fontId="1" fillId="2" borderId="9" xfId="0" applyNumberFormat="1" applyFont="1" applyFill="1" applyBorder="1" applyProtection="1">
      <protection locked="0"/>
    </xf>
    <xf numFmtId="0" fontId="20" fillId="0" borderId="34" xfId="0" applyFont="1" applyFill="1" applyBorder="1" applyAlignment="1" applyProtection="1">
      <alignment horizontal="right" vertical="center" wrapText="1"/>
    </xf>
    <xf numFmtId="0" fontId="20" fillId="0" borderId="13" xfId="0" applyFont="1" applyFill="1" applyBorder="1" applyAlignment="1" applyProtection="1">
      <alignment horizontal="right" vertical="center" wrapText="1"/>
    </xf>
    <xf numFmtId="165" fontId="0" fillId="2" borderId="9" xfId="0" applyNumberFormat="1" applyFill="1" applyBorder="1" applyAlignment="1" applyProtection="1">
      <alignment horizontal="center" vertical="center" wrapText="1"/>
      <protection locked="0"/>
    </xf>
    <xf numFmtId="167" fontId="0" fillId="0" borderId="10" xfId="0" applyNumberFormat="1" applyBorder="1" applyAlignment="1" applyProtection="1">
      <alignment vertical="center"/>
    </xf>
    <xf numFmtId="167" fontId="0" fillId="0" borderId="9" xfId="0" applyNumberFormat="1" applyBorder="1" applyAlignment="1" applyProtection="1">
      <alignment vertical="center"/>
    </xf>
    <xf numFmtId="0" fontId="0" fillId="6" borderId="9" xfId="0" applyFill="1" applyBorder="1" applyAlignment="1" applyProtection="1">
      <alignment vertical="center"/>
      <protection locked="0"/>
    </xf>
    <xf numFmtId="2" fontId="4" fillId="0" borderId="9" xfId="0" applyNumberFormat="1" applyFont="1" applyBorder="1" applyAlignment="1" applyProtection="1">
      <alignment horizontal="right" vertical="center"/>
    </xf>
    <xf numFmtId="164" fontId="0" fillId="0" borderId="9" xfId="0" applyNumberFormat="1" applyFill="1" applyBorder="1" applyAlignment="1" applyProtection="1">
      <alignment horizontal="right" vertical="center"/>
    </xf>
    <xf numFmtId="164" fontId="0" fillId="0" borderId="9" xfId="0" applyNumberFormat="1" applyFill="1" applyBorder="1" applyAlignment="1" applyProtection="1">
      <alignment vertical="center"/>
    </xf>
    <xf numFmtId="14" fontId="1" fillId="2" borderId="9" xfId="0" applyNumberFormat="1" applyFont="1" applyFill="1" applyBorder="1" applyAlignment="1" applyProtection="1">
      <alignment horizontal="center" vertical="center"/>
      <protection locked="0"/>
    </xf>
    <xf numFmtId="2" fontId="0" fillId="0" borderId="9" xfId="0" applyNumberFormat="1" applyFill="1" applyBorder="1" applyAlignment="1" applyProtection="1">
      <alignment horizontal="center" vertical="center"/>
    </xf>
    <xf numFmtId="0" fontId="4" fillId="0" borderId="0" xfId="0" applyFont="1" applyAlignment="1" applyProtection="1">
      <alignment horizontal="right" vertical="center"/>
    </xf>
    <xf numFmtId="0" fontId="2" fillId="0" borderId="0" xfId="0" applyFont="1" applyFill="1" applyBorder="1" applyAlignment="1" applyProtection="1">
      <alignment horizontal="right" vertical="center"/>
    </xf>
    <xf numFmtId="0" fontId="0" fillId="0" borderId="0" xfId="0" applyAlignment="1" applyProtection="1">
      <alignment horizontal="right" vertical="center"/>
    </xf>
    <xf numFmtId="0" fontId="0" fillId="0" borderId="25" xfId="0" applyBorder="1" applyAlignment="1">
      <alignment vertical="center"/>
    </xf>
    <xf numFmtId="0" fontId="0" fillId="0" borderId="9" xfId="0" applyBorder="1" applyAlignment="1" applyProtection="1">
      <alignment vertical="center"/>
      <protection locked="0"/>
    </xf>
    <xf numFmtId="0" fontId="1" fillId="0" borderId="9" xfId="0" applyFont="1" applyBorder="1" applyAlignment="1" applyProtection="1">
      <alignment horizontal="right" vertical="center"/>
    </xf>
    <xf numFmtId="167" fontId="1" fillId="0" borderId="9" xfId="0" applyNumberFormat="1" applyFont="1" applyBorder="1" applyAlignment="1" applyProtection="1">
      <alignment horizontal="right" vertical="center"/>
    </xf>
    <xf numFmtId="164" fontId="1" fillId="2" borderId="9" xfId="0" applyNumberFormat="1" applyFont="1" applyFill="1" applyBorder="1" applyAlignment="1" applyProtection="1">
      <alignment horizontal="right" vertical="center"/>
      <protection locked="0"/>
    </xf>
    <xf numFmtId="0" fontId="0" fillId="6" borderId="9" xfId="0" applyFill="1" applyBorder="1" applyAlignment="1" applyProtection="1">
      <alignment horizontal="center" vertical="center" wrapText="1"/>
      <protection locked="0"/>
    </xf>
    <xf numFmtId="0" fontId="1" fillId="0" borderId="9" xfId="0" applyFont="1" applyBorder="1" applyAlignment="1" applyProtection="1">
      <alignment horizontal="left" vertical="center" wrapText="1"/>
    </xf>
    <xf numFmtId="0" fontId="1" fillId="6" borderId="9" xfId="0" quotePrefix="1" applyFont="1" applyFill="1" applyBorder="1" applyAlignment="1" applyProtection="1">
      <alignment horizontal="center" vertical="center" wrapText="1"/>
      <protection locked="0"/>
    </xf>
    <xf numFmtId="0" fontId="19" fillId="0" borderId="0" xfId="0" applyFont="1" applyAlignment="1" applyProtection="1">
      <alignment horizontal="center" vertical="center" wrapText="1"/>
      <protection locked="0"/>
    </xf>
    <xf numFmtId="0" fontId="20" fillId="0" borderId="0" xfId="0" applyFont="1" applyAlignment="1" applyProtection="1">
      <alignment horizontal="center" vertical="center"/>
      <protection locked="0"/>
    </xf>
    <xf numFmtId="0" fontId="0" fillId="0" borderId="0" xfId="0" applyAlignment="1" applyProtection="1">
      <alignment horizontal="left" vertical="center"/>
    </xf>
    <xf numFmtId="0" fontId="24" fillId="0" borderId="26" xfId="0" applyFont="1" applyBorder="1" applyAlignment="1">
      <alignment horizontal="center" vertical="center" wrapText="1"/>
    </xf>
    <xf numFmtId="0" fontId="15" fillId="0" borderId="10" xfId="0" applyFont="1" applyBorder="1" applyAlignment="1" applyProtection="1">
      <alignment horizontal="center" vertical="center" wrapText="1"/>
      <protection locked="0"/>
    </xf>
    <xf numFmtId="0" fontId="15" fillId="6" borderId="10" xfId="0" applyFont="1" applyFill="1" applyBorder="1" applyAlignment="1" applyProtection="1">
      <alignment horizontal="center" vertical="center" wrapText="1"/>
      <protection locked="0"/>
    </xf>
    <xf numFmtId="0" fontId="15" fillId="0" borderId="9" xfId="0" applyFont="1" applyBorder="1" applyAlignment="1" applyProtection="1">
      <alignment horizontal="center" vertical="center" wrapText="1"/>
      <protection locked="0"/>
    </xf>
    <xf numFmtId="0" fontId="15" fillId="6" borderId="9" xfId="0" applyFont="1" applyFill="1" applyBorder="1" applyAlignment="1" applyProtection="1">
      <alignment horizontal="center" vertical="center" wrapText="1"/>
      <protection locked="0"/>
    </xf>
    <xf numFmtId="0" fontId="24" fillId="0" borderId="9" xfId="0" applyFont="1" applyBorder="1" applyAlignment="1" applyProtection="1">
      <alignment horizontal="center" vertical="center" wrapText="1"/>
      <protection locked="0"/>
    </xf>
    <xf numFmtId="0" fontId="15" fillId="0" borderId="9" xfId="0" applyFont="1" applyBorder="1" applyAlignment="1" applyProtection="1">
      <alignment vertical="center" wrapText="1"/>
      <protection locked="0"/>
    </xf>
    <xf numFmtId="0" fontId="15" fillId="6" borderId="9" xfId="0" applyFont="1" applyFill="1" applyBorder="1" applyAlignment="1" applyProtection="1">
      <alignment vertical="center" wrapText="1"/>
      <protection locked="0"/>
    </xf>
    <xf numFmtId="0" fontId="15" fillId="0" borderId="0" xfId="0" applyFont="1" applyBorder="1" applyAlignment="1" applyProtection="1">
      <alignment vertical="center" wrapText="1"/>
      <protection locked="0"/>
    </xf>
    <xf numFmtId="0" fontId="15" fillId="0" borderId="0" xfId="0" applyFont="1" applyBorder="1" applyAlignment="1" applyProtection="1">
      <alignment horizontal="center" vertical="center" wrapText="1"/>
      <protection locked="0"/>
    </xf>
    <xf numFmtId="0" fontId="15" fillId="0" borderId="0" xfId="0" applyFont="1" applyBorder="1" applyAlignment="1" applyProtection="1">
      <alignment vertical="center"/>
      <protection locked="0"/>
    </xf>
    <xf numFmtId="0" fontId="12" fillId="0" borderId="0" xfId="0" applyFont="1" applyAlignment="1" applyProtection="1">
      <alignment horizontal="left" vertical="center"/>
      <protection locked="0"/>
    </xf>
    <xf numFmtId="0" fontId="18" fillId="0" borderId="0" xfId="0" applyFont="1" applyAlignment="1" applyProtection="1">
      <alignment horizontal="right" vertical="center"/>
    </xf>
    <xf numFmtId="0" fontId="17" fillId="0" borderId="0" xfId="0" applyNumberFormat="1" applyFont="1" applyBorder="1" applyAlignment="1" applyProtection="1">
      <alignment horizontal="right" vertical="center"/>
    </xf>
    <xf numFmtId="0" fontId="21" fillId="0" borderId="0" xfId="0" applyFont="1" applyAlignment="1" applyProtection="1">
      <alignment horizontal="left" vertical="center"/>
    </xf>
    <xf numFmtId="0" fontId="17" fillId="0" borderId="0" xfId="0" applyFont="1" applyAlignment="1" applyProtection="1">
      <alignment horizontal="right" vertical="center"/>
    </xf>
    <xf numFmtId="0" fontId="17" fillId="0" borderId="0" xfId="0" applyFont="1" applyAlignment="1" applyProtection="1">
      <alignment horizontal="center" vertical="center"/>
    </xf>
    <xf numFmtId="0" fontId="17" fillId="0" borderId="0" xfId="0" applyFont="1" applyAlignment="1" applyProtection="1">
      <alignment vertical="center"/>
    </xf>
    <xf numFmtId="14" fontId="17" fillId="0" borderId="0" xfId="0" applyNumberFormat="1" applyFont="1" applyAlignment="1" applyProtection="1">
      <alignment horizontal="right" vertical="center"/>
    </xf>
    <xf numFmtId="0" fontId="18" fillId="0" borderId="0" xfId="0" applyFont="1" applyAlignment="1" applyProtection="1">
      <alignment horizontal="right" vertical="center" wrapText="1"/>
    </xf>
    <xf numFmtId="166" fontId="17" fillId="0" borderId="0" xfId="0" applyNumberFormat="1" applyFont="1" applyAlignment="1" applyProtection="1">
      <alignment horizontal="right" vertical="center"/>
    </xf>
    <xf numFmtId="2" fontId="17" fillId="0" borderId="0" xfId="0" applyNumberFormat="1" applyFont="1" applyAlignment="1" applyProtection="1">
      <alignment horizontal="center" vertical="center"/>
    </xf>
    <xf numFmtId="0" fontId="18" fillId="0" borderId="0" xfId="0" quotePrefix="1" applyFont="1" applyAlignment="1" applyProtection="1">
      <alignment vertical="center"/>
    </xf>
    <xf numFmtId="0" fontId="18" fillId="0" borderId="0" xfId="0" applyFont="1" applyAlignment="1" applyProtection="1">
      <alignment vertical="center"/>
    </xf>
    <xf numFmtId="2" fontId="17" fillId="0" borderId="0" xfId="0" applyNumberFormat="1" applyFont="1" applyAlignment="1" applyProtection="1">
      <alignment horizontal="right" vertical="center"/>
    </xf>
    <xf numFmtId="2" fontId="18" fillId="0" borderId="0" xfId="0" applyNumberFormat="1" applyFont="1" applyAlignment="1" applyProtection="1">
      <alignment horizontal="right" vertical="center"/>
    </xf>
    <xf numFmtId="0" fontId="18" fillId="0" borderId="9" xfId="0" applyFont="1" applyBorder="1" applyAlignment="1" applyProtection="1">
      <alignment vertical="center"/>
    </xf>
    <xf numFmtId="2" fontId="17" fillId="0" borderId="9" xfId="0" applyNumberFormat="1" applyFont="1" applyBorder="1" applyAlignment="1" applyProtection="1">
      <alignment vertical="center"/>
    </xf>
    <xf numFmtId="164" fontId="17" fillId="0" borderId="9" xfId="0" applyNumberFormat="1" applyFont="1" applyBorder="1" applyAlignment="1" applyProtection="1">
      <alignment vertical="center"/>
    </xf>
    <xf numFmtId="0" fontId="16" fillId="0" borderId="25" xfId="0" applyFont="1" applyBorder="1" applyAlignment="1" applyProtection="1">
      <alignment horizontal="left" vertical="center"/>
    </xf>
    <xf numFmtId="0" fontId="19" fillId="0" borderId="0" xfId="0" applyFont="1" applyAlignment="1" applyProtection="1">
      <alignment vertical="center" wrapText="1"/>
      <protection locked="0"/>
    </xf>
    <xf numFmtId="0" fontId="20" fillId="0" borderId="0" xfId="0" applyFont="1" applyAlignment="1" applyProtection="1">
      <alignment vertical="center"/>
      <protection locked="0"/>
    </xf>
    <xf numFmtId="0" fontId="19" fillId="0" borderId="0" xfId="0" applyFont="1" applyAlignment="1" applyProtection="1">
      <alignment horizontal="center" vertical="center"/>
      <protection locked="0"/>
    </xf>
    <xf numFmtId="0" fontId="24" fillId="0" borderId="0" xfId="0" applyFont="1" applyAlignment="1" applyProtection="1">
      <alignment horizontal="left" vertical="center" wrapText="1"/>
      <protection locked="0"/>
    </xf>
    <xf numFmtId="0" fontId="25" fillId="0" borderId="0" xfId="0" applyFont="1" applyAlignment="1" applyProtection="1">
      <alignment horizontal="right" vertical="center"/>
      <protection locked="0"/>
    </xf>
    <xf numFmtId="0" fontId="25" fillId="0" borderId="0" xfId="0" applyFont="1" applyAlignment="1" applyProtection="1">
      <alignment horizontal="center" vertical="center"/>
      <protection locked="0"/>
    </xf>
    <xf numFmtId="0" fontId="24" fillId="0" borderId="0" xfId="0" applyFont="1" applyAlignment="1" applyProtection="1">
      <alignment horizontal="left" vertical="center" wrapText="1" indent="3"/>
      <protection locked="0"/>
    </xf>
    <xf numFmtId="0" fontId="18" fillId="0" borderId="0" xfId="0" applyFont="1" applyBorder="1" applyAlignment="1" applyProtection="1">
      <alignment vertical="center"/>
    </xf>
    <xf numFmtId="164" fontId="17" fillId="0" borderId="0" xfId="0" applyNumberFormat="1" applyFont="1" applyBorder="1" applyAlignment="1" applyProtection="1">
      <alignment vertical="center"/>
    </xf>
    <xf numFmtId="0" fontId="15" fillId="7" borderId="25" xfId="0" applyFont="1" applyFill="1" applyBorder="1" applyAlignment="1">
      <alignment horizontal="left" vertical="center"/>
    </xf>
    <xf numFmtId="0" fontId="0" fillId="7" borderId="25" xfId="0" applyFill="1" applyBorder="1" applyAlignment="1">
      <alignment horizontal="left" vertical="center"/>
    </xf>
    <xf numFmtId="0" fontId="0" fillId="0" borderId="25" xfId="0" applyFill="1" applyBorder="1" applyAlignment="1" applyProtection="1">
      <alignment vertical="center"/>
      <protection locked="0"/>
    </xf>
    <xf numFmtId="0" fontId="19" fillId="0" borderId="25" xfId="0" applyFont="1" applyFill="1" applyBorder="1" applyAlignment="1" applyProtection="1">
      <alignment horizontal="center" vertical="center" wrapText="1"/>
      <protection locked="0"/>
    </xf>
    <xf numFmtId="0" fontId="20" fillId="0" borderId="25" xfId="0" applyFont="1" applyFill="1" applyBorder="1" applyAlignment="1" applyProtection="1">
      <alignment horizontal="center" vertical="center"/>
      <protection locked="0"/>
    </xf>
    <xf numFmtId="0" fontId="15" fillId="0" borderId="0" xfId="0" applyFont="1" applyAlignment="1" applyProtection="1">
      <alignment horizontal="left" vertical="center"/>
      <protection locked="0"/>
    </xf>
    <xf numFmtId="0" fontId="15" fillId="0" borderId="9" xfId="0" applyFont="1" applyBorder="1" applyAlignment="1" applyProtection="1">
      <alignment horizontal="center" vertical="center"/>
      <protection locked="0"/>
    </xf>
    <xf numFmtId="0" fontId="2" fillId="0" borderId="0" xfId="0" applyFont="1" applyAlignment="1" applyProtection="1">
      <alignment horizontal="left" vertical="center"/>
    </xf>
    <xf numFmtId="0" fontId="2" fillId="0" borderId="0" xfId="0" applyFont="1" applyBorder="1" applyAlignment="1" applyProtection="1">
      <alignment horizontal="left" vertical="center"/>
    </xf>
    <xf numFmtId="0" fontId="1" fillId="0" borderId="0" xfId="0" applyFont="1" applyBorder="1" applyProtection="1"/>
    <xf numFmtId="0" fontId="0" fillId="0" borderId="38" xfId="0" applyBorder="1" applyProtection="1"/>
    <xf numFmtId="0" fontId="0" fillId="0" borderId="39" xfId="0" applyBorder="1" applyProtection="1">
      <protection locked="0"/>
    </xf>
    <xf numFmtId="0" fontId="0" fillId="0" borderId="21" xfId="0" applyBorder="1" applyProtection="1">
      <protection locked="0"/>
    </xf>
    <xf numFmtId="0" fontId="0" fillId="0" borderId="19" xfId="0" applyBorder="1" applyProtection="1">
      <protection locked="0"/>
    </xf>
    <xf numFmtId="0" fontId="15" fillId="0" borderId="0" xfId="0" applyFont="1" applyBorder="1" applyAlignment="1" applyProtection="1">
      <alignment horizontal="center" vertical="center"/>
      <protection locked="0"/>
    </xf>
    <xf numFmtId="0" fontId="2" fillId="0" borderId="0" xfId="0" applyFont="1" applyBorder="1" applyProtection="1">
      <protection locked="0"/>
    </xf>
    <xf numFmtId="0" fontId="2" fillId="0" borderId="0" xfId="0" applyFont="1" applyBorder="1" applyAlignment="1" applyProtection="1">
      <alignment vertical="center"/>
      <protection locked="0"/>
    </xf>
    <xf numFmtId="0" fontId="15" fillId="0" borderId="0" xfId="0" applyFont="1" applyFill="1" applyBorder="1" applyAlignment="1" applyProtection="1">
      <alignment horizontal="center" vertical="center"/>
      <protection locked="0"/>
    </xf>
    <xf numFmtId="0" fontId="5" fillId="0" borderId="28" xfId="0" applyFont="1" applyBorder="1" applyAlignment="1" applyProtection="1">
      <alignment horizontal="center" vertical="center"/>
    </xf>
    <xf numFmtId="0" fontId="5" fillId="0" borderId="40" xfId="0" applyFont="1" applyBorder="1" applyAlignment="1" applyProtection="1">
      <alignment horizontal="center" vertical="center"/>
    </xf>
    <xf numFmtId="0" fontId="5" fillId="0" borderId="29" xfId="0" applyFont="1" applyBorder="1" applyAlignment="1" applyProtection="1">
      <alignment horizontal="center" vertical="center"/>
    </xf>
    <xf numFmtId="0" fontId="21" fillId="0" borderId="23" xfId="0" applyFont="1" applyBorder="1" applyAlignment="1" applyProtection="1">
      <alignment horizontal="center" vertical="center"/>
    </xf>
    <xf numFmtId="0" fontId="21" fillId="0" borderId="9" xfId="0" applyFont="1" applyBorder="1" applyAlignment="1" applyProtection="1">
      <alignment horizontal="center" vertical="center"/>
    </xf>
    <xf numFmtId="168" fontId="21" fillId="0" borderId="30" xfId="0" applyNumberFormat="1" applyFont="1" applyBorder="1" applyAlignment="1" applyProtection="1">
      <alignment horizontal="center" vertical="center"/>
    </xf>
    <xf numFmtId="0" fontId="21" fillId="0" borderId="24" xfId="0" applyFont="1" applyBorder="1" applyAlignment="1" applyProtection="1">
      <alignment horizontal="center" vertical="center"/>
    </xf>
    <xf numFmtId="0" fontId="21" fillId="0" borderId="20" xfId="0" applyFont="1" applyBorder="1" applyAlignment="1" applyProtection="1">
      <alignment horizontal="left" vertical="center"/>
    </xf>
    <xf numFmtId="0" fontId="21" fillId="0" borderId="20" xfId="0" applyFont="1" applyBorder="1" applyAlignment="1" applyProtection="1">
      <alignment horizontal="center" vertical="center"/>
    </xf>
    <xf numFmtId="0" fontId="21" fillId="0" borderId="31" xfId="0" applyFont="1" applyBorder="1" applyAlignment="1" applyProtection="1">
      <alignment horizontal="center" vertical="center"/>
    </xf>
    <xf numFmtId="0" fontId="0" fillId="0" borderId="9" xfId="0" applyBorder="1" applyAlignment="1">
      <alignment horizontal="center" vertical="center"/>
    </xf>
    <xf numFmtId="0" fontId="0" fillId="0" borderId="9" xfId="0" applyBorder="1" applyAlignment="1">
      <alignment vertical="center"/>
    </xf>
    <xf numFmtId="0" fontId="1" fillId="0" borderId="9" xfId="0" applyFont="1" applyBorder="1" applyAlignment="1">
      <alignment vertical="center"/>
    </xf>
    <xf numFmtId="0" fontId="15" fillId="0" borderId="9" xfId="0" applyFont="1" applyFill="1" applyBorder="1" applyAlignment="1" applyProtection="1">
      <alignment horizontal="center" vertical="center" wrapText="1"/>
      <protection locked="0"/>
    </xf>
    <xf numFmtId="0" fontId="21" fillId="0" borderId="9" xfId="0" applyFont="1" applyBorder="1" applyAlignment="1" applyProtection="1">
      <alignment horizontal="left" vertical="center" wrapText="1"/>
    </xf>
    <xf numFmtId="0" fontId="0" fillId="0" borderId="0" xfId="0" applyAlignment="1" applyProtection="1">
      <alignment wrapText="1" shrinkToFit="1"/>
    </xf>
    <xf numFmtId="0" fontId="0" fillId="0" borderId="0" xfId="0" applyAlignment="1" applyProtection="1">
      <alignment vertical="top" wrapText="1" shrinkToFit="1"/>
    </xf>
    <xf numFmtId="0" fontId="1" fillId="0" borderId="0" xfId="0" applyFont="1"/>
    <xf numFmtId="0" fontId="23" fillId="0" borderId="0" xfId="0" applyFont="1" applyBorder="1" applyAlignment="1" applyProtection="1">
      <alignment horizontal="right" vertical="center" wrapText="1"/>
    </xf>
    <xf numFmtId="0" fontId="21" fillId="0" borderId="0" xfId="0" applyFont="1" applyBorder="1" applyAlignment="1" applyProtection="1">
      <alignment horizontal="right" vertical="center" wrapText="1"/>
    </xf>
    <xf numFmtId="0" fontId="26" fillId="0" borderId="0" xfId="0" applyFont="1" applyAlignment="1" applyProtection="1">
      <alignment horizontal="center"/>
    </xf>
    <xf numFmtId="0" fontId="26" fillId="0" borderId="0" xfId="0" applyFont="1" applyBorder="1" applyAlignment="1" applyProtection="1">
      <alignment horizontal="center"/>
    </xf>
    <xf numFmtId="164" fontId="4" fillId="2" borderId="9" xfId="0" applyNumberFormat="1" applyFont="1" applyFill="1" applyBorder="1" applyProtection="1"/>
    <xf numFmtId="166" fontId="2" fillId="0" borderId="9" xfId="0" applyNumberFormat="1" applyFont="1" applyBorder="1" applyProtection="1"/>
    <xf numFmtId="166" fontId="0" fillId="0" borderId="9" xfId="0" applyNumberFormat="1" applyFill="1" applyBorder="1" applyProtection="1"/>
    <xf numFmtId="0" fontId="0" fillId="0" borderId="0" xfId="0" applyAlignment="1" applyProtection="1">
      <alignment vertical="top" wrapText="1" shrinkToFit="1"/>
    </xf>
    <xf numFmtId="0" fontId="0" fillId="0" borderId="0" xfId="0" applyAlignment="1" applyProtection="1">
      <alignment wrapText="1" shrinkToFit="1"/>
    </xf>
    <xf numFmtId="0" fontId="2" fillId="0" borderId="0" xfId="0" applyFont="1" applyAlignment="1" applyProtection="1">
      <alignment horizontal="right" vertical="center"/>
    </xf>
    <xf numFmtId="0" fontId="28" fillId="0" borderId="0" xfId="0" applyNumberFormat="1" applyFont="1" applyProtection="1">
      <protection hidden="1"/>
    </xf>
    <xf numFmtId="0" fontId="1" fillId="0" borderId="0" xfId="0" applyFont="1" applyAlignment="1" applyProtection="1">
      <alignment horizontal="left"/>
    </xf>
    <xf numFmtId="0" fontId="2" fillId="0" borderId="0" xfId="0" applyFont="1" applyBorder="1" applyAlignment="1" applyProtection="1">
      <alignment horizontal="right" vertical="center"/>
    </xf>
    <xf numFmtId="2" fontId="1" fillId="0" borderId="0" xfId="0" quotePrefix="1" applyNumberFormat="1" applyFont="1" applyFill="1" applyBorder="1" applyAlignment="1" applyProtection="1">
      <alignment horizontal="center" vertical="center"/>
    </xf>
    <xf numFmtId="0" fontId="31" fillId="0" borderId="0" xfId="0" applyFont="1" applyProtection="1"/>
    <xf numFmtId="0" fontId="2" fillId="0" borderId="0" xfId="0" applyFont="1" applyBorder="1" applyAlignment="1" applyProtection="1">
      <alignment horizontal="center" vertical="center" wrapText="1"/>
    </xf>
    <xf numFmtId="0" fontId="28" fillId="0" borderId="0" xfId="0" applyFont="1" applyProtection="1"/>
    <xf numFmtId="0" fontId="28" fillId="0" borderId="0" xfId="0" applyFont="1" applyProtection="1">
      <protection hidden="1"/>
    </xf>
    <xf numFmtId="2" fontId="28" fillId="0" borderId="0" xfId="0" applyNumberFormat="1" applyFont="1" applyProtection="1"/>
    <xf numFmtId="14" fontId="21" fillId="0" borderId="30" xfId="0" applyNumberFormat="1" applyFont="1" applyBorder="1" applyAlignment="1" applyProtection="1">
      <alignment horizontal="center" vertical="center"/>
    </xf>
    <xf numFmtId="0" fontId="9" fillId="0" borderId="0" xfId="0" applyFont="1" applyProtection="1"/>
    <xf numFmtId="0" fontId="34" fillId="0" borderId="0" xfId="0" applyFont="1" applyAlignment="1" applyProtection="1">
      <alignment vertical="center"/>
    </xf>
    <xf numFmtId="0" fontId="0" fillId="0" borderId="0" xfId="0" applyAlignment="1" applyProtection="1">
      <alignment vertical="top" wrapText="1" shrinkToFit="1"/>
    </xf>
    <xf numFmtId="0" fontId="0" fillId="0" borderId="0" xfId="0" applyAlignment="1" applyProtection="1">
      <alignment wrapText="1" shrinkToFit="1"/>
    </xf>
    <xf numFmtId="0" fontId="32" fillId="10" borderId="3" xfId="0" applyFont="1" applyFill="1" applyBorder="1" applyProtection="1"/>
    <xf numFmtId="0" fontId="1" fillId="0" borderId="0" xfId="0" applyFont="1" applyBorder="1" applyAlignment="1" applyProtection="1">
      <alignment horizontal="left" vertical="center"/>
    </xf>
    <xf numFmtId="0" fontId="32" fillId="9" borderId="56" xfId="0" applyFont="1" applyFill="1" applyBorder="1" applyAlignment="1" applyProtection="1">
      <alignment vertical="center"/>
    </xf>
    <xf numFmtId="0" fontId="2" fillId="0" borderId="45" xfId="0" applyFont="1" applyBorder="1" applyAlignment="1" applyProtection="1">
      <alignment horizontal="center"/>
    </xf>
    <xf numFmtId="0" fontId="1" fillId="0" borderId="10" xfId="0" applyFont="1" applyBorder="1" applyAlignment="1">
      <alignment vertical="center"/>
    </xf>
    <xf numFmtId="0" fontId="23" fillId="0" borderId="10" xfId="0" applyFont="1" applyBorder="1" applyAlignment="1" applyProtection="1">
      <alignment vertical="center"/>
    </xf>
    <xf numFmtId="0" fontId="21" fillId="0" borderId="10" xfId="0" applyFont="1" applyBorder="1" applyAlignment="1" applyProtection="1">
      <alignment vertical="center"/>
    </xf>
    <xf numFmtId="167" fontId="21" fillId="0" borderId="10" xfId="0" applyNumberFormat="1" applyFont="1" applyBorder="1" applyAlignment="1" applyProtection="1">
      <alignment vertical="center"/>
    </xf>
    <xf numFmtId="0" fontId="21" fillId="0" borderId="10" xfId="0" applyFont="1" applyBorder="1" applyAlignment="1" applyProtection="1">
      <alignment vertical="center"/>
      <protection locked="0"/>
    </xf>
    <xf numFmtId="0" fontId="23" fillId="0" borderId="9" xfId="0" applyFont="1" applyBorder="1" applyAlignment="1" applyProtection="1">
      <alignment vertical="center"/>
    </xf>
    <xf numFmtId="0" fontId="21" fillId="0" borderId="9" xfId="0" applyFont="1" applyBorder="1" applyAlignment="1" applyProtection="1">
      <alignment vertical="center"/>
    </xf>
    <xf numFmtId="0" fontId="21" fillId="0" borderId="9" xfId="0" applyFont="1" applyBorder="1" applyAlignment="1" applyProtection="1">
      <alignment vertical="center"/>
      <protection locked="0"/>
    </xf>
    <xf numFmtId="0" fontId="23" fillId="0" borderId="0" xfId="0" applyFont="1" applyBorder="1" applyAlignment="1" applyProtection="1">
      <alignment vertical="center"/>
    </xf>
    <xf numFmtId="0" fontId="21" fillId="0" borderId="0" xfId="0" applyFont="1" applyBorder="1" applyAlignment="1" applyProtection="1">
      <alignment vertical="center"/>
    </xf>
    <xf numFmtId="167" fontId="21" fillId="0" borderId="0" xfId="0" applyNumberFormat="1" applyFont="1" applyBorder="1" applyAlignment="1" applyProtection="1">
      <alignment vertical="center"/>
    </xf>
    <xf numFmtId="0" fontId="21" fillId="0" borderId="0" xfId="0" applyFont="1" applyBorder="1" applyAlignment="1" applyProtection="1">
      <alignment vertical="center"/>
      <protection locked="0"/>
    </xf>
    <xf numFmtId="0" fontId="2" fillId="0" borderId="9" xfId="0" applyFont="1" applyBorder="1" applyAlignment="1">
      <alignment vertical="center"/>
    </xf>
    <xf numFmtId="0" fontId="1" fillId="0" borderId="9" xfId="0" applyFont="1" applyBorder="1" applyAlignment="1">
      <alignment horizontal="right" vertical="center"/>
    </xf>
    <xf numFmtId="2" fontId="1" fillId="0" borderId="9" xfId="0" quotePrefix="1" applyNumberFormat="1" applyFont="1" applyFill="1" applyBorder="1" applyAlignment="1" applyProtection="1">
      <alignment horizontal="center" vertical="center"/>
      <protection hidden="1"/>
    </xf>
    <xf numFmtId="0" fontId="11" fillId="0" borderId="50" xfId="0" applyFont="1" applyBorder="1" applyAlignment="1">
      <alignment horizontal="right" vertical="center"/>
    </xf>
    <xf numFmtId="0" fontId="0" fillId="0" borderId="17" xfId="0" applyBorder="1" applyAlignment="1" applyProtection="1">
      <alignment vertical="center"/>
    </xf>
    <xf numFmtId="167" fontId="0" fillId="0" borderId="17" xfId="0" applyNumberFormat="1" applyBorder="1" applyAlignment="1" applyProtection="1">
      <alignment horizontal="center" vertical="center"/>
    </xf>
    <xf numFmtId="0" fontId="1" fillId="0" borderId="17" xfId="0" applyFont="1" applyBorder="1" applyAlignment="1" applyProtection="1">
      <alignment vertical="center"/>
    </xf>
    <xf numFmtId="0" fontId="0" fillId="0" borderId="17" xfId="0" applyBorder="1" applyAlignment="1">
      <alignment horizontal="center" vertical="center"/>
    </xf>
    <xf numFmtId="0" fontId="1" fillId="0" borderId="17" xfId="0" applyFont="1" applyBorder="1" applyAlignment="1">
      <alignment vertical="center"/>
    </xf>
    <xf numFmtId="0" fontId="0" fillId="0" borderId="17" xfId="0" applyBorder="1" applyAlignment="1">
      <alignment vertical="center"/>
    </xf>
    <xf numFmtId="0" fontId="2" fillId="0" borderId="20" xfId="0" applyFont="1" applyBorder="1" applyAlignment="1" applyProtection="1">
      <alignment horizontal="center" vertical="center"/>
    </xf>
    <xf numFmtId="0" fontId="2" fillId="0" borderId="20" xfId="0" applyFont="1" applyBorder="1" applyAlignment="1" applyProtection="1">
      <alignment horizontal="center" vertical="center" wrapText="1"/>
    </xf>
    <xf numFmtId="0" fontId="0" fillId="0" borderId="10" xfId="0" applyBorder="1" applyAlignment="1">
      <alignment vertical="center"/>
    </xf>
    <xf numFmtId="2" fontId="0" fillId="2" borderId="9" xfId="0" applyNumberFormat="1" applyFill="1" applyBorder="1" applyAlignment="1" applyProtection="1">
      <alignment horizontal="center" vertical="center"/>
      <protection locked="0"/>
    </xf>
    <xf numFmtId="2" fontId="21" fillId="0" borderId="10" xfId="0" applyNumberFormat="1" applyFont="1" applyBorder="1" applyAlignment="1" applyProtection="1">
      <alignment vertical="center"/>
    </xf>
    <xf numFmtId="0" fontId="1" fillId="0" borderId="0" xfId="0" applyFont="1" applyBorder="1" applyAlignment="1" applyProtection="1">
      <alignment vertical="center"/>
    </xf>
    <xf numFmtId="0" fontId="21" fillId="0" borderId="9" xfId="0" applyFont="1" applyBorder="1" applyAlignment="1">
      <alignment vertical="center"/>
    </xf>
    <xf numFmtId="0" fontId="23" fillId="0" borderId="9" xfId="0" applyFont="1" applyBorder="1" applyAlignment="1">
      <alignment vertical="center"/>
    </xf>
    <xf numFmtId="0" fontId="23" fillId="0" borderId="10" xfId="0" applyFont="1" applyBorder="1" applyAlignment="1">
      <alignment vertical="center"/>
    </xf>
    <xf numFmtId="0" fontId="21" fillId="0" borderId="10" xfId="0" applyFont="1" applyBorder="1" applyAlignment="1">
      <alignment vertical="center"/>
    </xf>
    <xf numFmtId="0" fontId="23" fillId="0" borderId="20" xfId="0" applyFont="1" applyBorder="1" applyAlignment="1" applyProtection="1">
      <alignment horizontal="center" vertical="center"/>
    </xf>
    <xf numFmtId="0" fontId="23" fillId="0" borderId="20" xfId="0" applyFont="1" applyFill="1" applyBorder="1" applyAlignment="1" applyProtection="1">
      <alignment horizontal="center" vertical="center"/>
    </xf>
    <xf numFmtId="0" fontId="34" fillId="0" borderId="0" xfId="0" applyFont="1" applyAlignment="1" applyProtection="1">
      <alignment vertical="center"/>
      <protection hidden="1"/>
    </xf>
    <xf numFmtId="0" fontId="1" fillId="0" borderId="0" xfId="0" applyFont="1" applyBorder="1" applyAlignment="1">
      <alignment vertical="center"/>
    </xf>
    <xf numFmtId="167" fontId="2" fillId="5" borderId="9" xfId="0" applyNumberFormat="1" applyFont="1" applyFill="1" applyBorder="1" applyAlignment="1" applyProtection="1">
      <alignment horizontal="center" vertical="center"/>
    </xf>
    <xf numFmtId="0" fontId="1" fillId="0" borderId="16" xfId="0" applyFont="1" applyBorder="1" applyAlignment="1" applyProtection="1">
      <alignment vertical="center"/>
    </xf>
    <xf numFmtId="0" fontId="0" fillId="0" borderId="16" xfId="0" applyBorder="1" applyAlignment="1" applyProtection="1">
      <alignment vertical="center"/>
    </xf>
    <xf numFmtId="0" fontId="0" fillId="0" borderId="16" xfId="0" applyBorder="1" applyAlignment="1">
      <alignment vertical="center"/>
    </xf>
    <xf numFmtId="0" fontId="1" fillId="0" borderId="16" xfId="0" applyFont="1" applyBorder="1" applyAlignment="1">
      <alignment vertical="center"/>
    </xf>
    <xf numFmtId="0" fontId="2" fillId="0" borderId="20" xfId="0" applyFont="1" applyFill="1" applyBorder="1" applyAlignment="1" applyProtection="1">
      <alignment horizontal="center" vertical="center"/>
    </xf>
    <xf numFmtId="0" fontId="5" fillId="0" borderId="50" xfId="0" applyFont="1" applyBorder="1" applyAlignment="1">
      <alignment vertical="center"/>
    </xf>
    <xf numFmtId="0" fontId="5" fillId="0" borderId="50" xfId="0" applyFont="1" applyBorder="1" applyAlignment="1">
      <alignment horizontal="center" vertical="center"/>
    </xf>
    <xf numFmtId="0" fontId="1" fillId="0" borderId="9" xfId="0" applyFont="1" applyBorder="1" applyAlignment="1">
      <alignment horizontal="center" vertical="center"/>
    </xf>
    <xf numFmtId="0" fontId="1" fillId="0" borderId="3" xfId="0" applyNumberFormat="1" applyFont="1" applyBorder="1" applyAlignment="1" applyProtection="1">
      <alignment horizontal="center" vertical="center"/>
      <protection hidden="1"/>
    </xf>
    <xf numFmtId="14" fontId="1" fillId="0" borderId="8" xfId="0" applyNumberFormat="1" applyFont="1" applyBorder="1" applyAlignment="1" applyProtection="1">
      <alignment horizontal="center" vertical="center"/>
      <protection hidden="1"/>
    </xf>
    <xf numFmtId="167" fontId="1" fillId="0" borderId="9" xfId="0" applyNumberFormat="1" applyFont="1" applyFill="1" applyBorder="1" applyAlignment="1" applyProtection="1">
      <alignment horizontal="center" vertical="center"/>
    </xf>
    <xf numFmtId="2" fontId="0" fillId="0" borderId="0" xfId="0" applyNumberFormat="1" applyAlignment="1" applyProtection="1">
      <alignment vertical="center"/>
    </xf>
    <xf numFmtId="14" fontId="29" fillId="0" borderId="0" xfId="0" applyNumberFormat="1" applyFont="1" applyAlignment="1" applyProtection="1"/>
    <xf numFmtId="0" fontId="1" fillId="0" borderId="10" xfId="0" applyFont="1" applyBorder="1" applyAlignment="1" applyProtection="1">
      <alignment horizontal="center" vertical="center"/>
    </xf>
    <xf numFmtId="0" fontId="2" fillId="0" borderId="53" xfId="0" applyFont="1" applyBorder="1" applyProtection="1"/>
    <xf numFmtId="0" fontId="0" fillId="0" borderId="58" xfId="0" applyBorder="1" applyProtection="1"/>
    <xf numFmtId="0" fontId="0" fillId="0" borderId="54" xfId="0" applyBorder="1" applyProtection="1"/>
    <xf numFmtId="0" fontId="1" fillId="0" borderId="9" xfId="0" applyFont="1" applyBorder="1" applyProtection="1"/>
    <xf numFmtId="0" fontId="1" fillId="0" borderId="20" xfId="0" applyFont="1" applyBorder="1" applyProtection="1"/>
    <xf numFmtId="0" fontId="1" fillId="0" borderId="10" xfId="0" applyFont="1" applyBorder="1" applyProtection="1"/>
    <xf numFmtId="0" fontId="0" fillId="0" borderId="13" xfId="0" applyBorder="1" applyProtection="1"/>
    <xf numFmtId="0" fontId="9" fillId="0" borderId="37" xfId="0" applyFont="1" applyBorder="1" applyAlignment="1" applyProtection="1">
      <alignment vertical="top" wrapText="1"/>
    </xf>
    <xf numFmtId="0" fontId="0" fillId="0" borderId="18" xfId="0" applyFill="1" applyBorder="1" applyProtection="1">
      <protection hidden="1"/>
    </xf>
    <xf numFmtId="1" fontId="0" fillId="0" borderId="21" xfId="0" applyNumberFormat="1" applyBorder="1" applyProtection="1">
      <protection hidden="1"/>
    </xf>
    <xf numFmtId="1" fontId="0" fillId="0" borderId="19" xfId="0" applyNumberFormat="1" applyBorder="1" applyProtection="1">
      <protection hidden="1"/>
    </xf>
    <xf numFmtId="0" fontId="2" fillId="0" borderId="50" xfId="0" applyFont="1" applyBorder="1" applyAlignment="1">
      <alignment vertical="center"/>
    </xf>
    <xf numFmtId="0" fontId="0" fillId="0" borderId="50" xfId="0" applyBorder="1" applyAlignment="1">
      <alignment vertical="center"/>
    </xf>
    <xf numFmtId="0" fontId="1" fillId="0" borderId="16" xfId="0" applyFont="1" applyBorder="1" applyAlignment="1">
      <alignment horizontal="center" vertical="center"/>
    </xf>
    <xf numFmtId="0" fontId="5" fillId="0" borderId="19" xfId="0" applyFont="1" applyBorder="1" applyAlignment="1">
      <alignment vertical="center"/>
    </xf>
    <xf numFmtId="164" fontId="7" fillId="0" borderId="9" xfId="0" applyNumberFormat="1" applyFont="1" applyBorder="1" applyAlignment="1" applyProtection="1">
      <alignment horizontal="right"/>
      <protection hidden="1"/>
    </xf>
    <xf numFmtId="0" fontId="1" fillId="0" borderId="0" xfId="0" applyFont="1" applyAlignment="1">
      <alignment horizontal="center" vertical="center"/>
    </xf>
    <xf numFmtId="0" fontId="0" fillId="0" borderId="10" xfId="0" applyBorder="1" applyAlignment="1">
      <alignment horizontal="center" vertical="center"/>
    </xf>
    <xf numFmtId="0" fontId="5" fillId="0" borderId="18" xfId="0" applyFont="1" applyBorder="1" applyAlignment="1">
      <alignment vertical="center"/>
    </xf>
    <xf numFmtId="167" fontId="11" fillId="0" borderId="60" xfId="0" applyNumberFormat="1" applyFont="1" applyBorder="1" applyAlignment="1" applyProtection="1">
      <alignment vertical="center"/>
    </xf>
    <xf numFmtId="167" fontId="11" fillId="0" borderId="61" xfId="0" applyNumberFormat="1" applyFont="1" applyBorder="1" applyAlignment="1" applyProtection="1">
      <alignment vertical="center"/>
    </xf>
    <xf numFmtId="0" fontId="11" fillId="0" borderId="60" xfId="0" applyFont="1" applyBorder="1" applyAlignment="1">
      <alignment vertical="center"/>
    </xf>
    <xf numFmtId="0" fontId="11" fillId="0" borderId="61" xfId="0" applyFont="1" applyBorder="1" applyAlignment="1">
      <alignment vertical="center"/>
    </xf>
    <xf numFmtId="0" fontId="11" fillId="0" borderId="62" xfId="0" applyFont="1" applyBorder="1" applyAlignment="1">
      <alignment vertical="center"/>
    </xf>
    <xf numFmtId="0" fontId="5" fillId="0" borderId="63" xfId="0" applyFont="1" applyBorder="1" applyAlignment="1" applyProtection="1">
      <alignment vertical="center"/>
    </xf>
    <xf numFmtId="0" fontId="5" fillId="0" borderId="63" xfId="0" applyFont="1" applyBorder="1" applyAlignment="1">
      <alignment vertical="center"/>
    </xf>
    <xf numFmtId="0" fontId="5" fillId="0" borderId="38" xfId="0" applyFont="1" applyBorder="1" applyAlignment="1">
      <alignment vertical="center"/>
    </xf>
    <xf numFmtId="0" fontId="5" fillId="0" borderId="64" xfId="0" applyFont="1" applyBorder="1" applyAlignment="1">
      <alignment vertical="center"/>
    </xf>
    <xf numFmtId="0" fontId="11" fillId="0" borderId="15" xfId="0" applyFont="1" applyBorder="1" applyAlignment="1">
      <alignment vertical="center"/>
    </xf>
    <xf numFmtId="0" fontId="11" fillId="0" borderId="10" xfId="0" applyFont="1" applyBorder="1" applyAlignment="1">
      <alignment horizontal="center" vertical="center"/>
    </xf>
    <xf numFmtId="0" fontId="11" fillId="0" borderId="33" xfId="0" applyFont="1" applyBorder="1" applyAlignment="1">
      <alignment vertical="center"/>
    </xf>
    <xf numFmtId="0" fontId="11" fillId="0" borderId="9" xfId="0" applyFont="1" applyBorder="1" applyAlignment="1">
      <alignment horizontal="center" vertical="center"/>
    </xf>
    <xf numFmtId="0" fontId="2" fillId="0" borderId="20" xfId="0" applyFont="1" applyBorder="1" applyAlignment="1">
      <alignment horizontal="center" vertical="center" wrapText="1"/>
    </xf>
    <xf numFmtId="0" fontId="2" fillId="0" borderId="59" xfId="0" applyFont="1" applyBorder="1" applyAlignment="1">
      <alignment horizontal="center" vertical="center" wrapText="1"/>
    </xf>
    <xf numFmtId="0" fontId="2" fillId="0" borderId="50" xfId="0" applyFont="1" applyBorder="1" applyAlignment="1">
      <alignment horizontal="center" vertical="center" wrapText="1"/>
    </xf>
    <xf numFmtId="0" fontId="0" fillId="0" borderId="0" xfId="0" applyAlignment="1">
      <alignment horizontal="center" vertical="center" wrapText="1"/>
    </xf>
    <xf numFmtId="0" fontId="2" fillId="0" borderId="20" xfId="0" applyFont="1" applyBorder="1" applyAlignment="1" applyProtection="1">
      <alignment horizontal="left" vertical="center" wrapText="1"/>
    </xf>
    <xf numFmtId="0" fontId="0" fillId="0" borderId="0" xfId="0" applyAlignment="1" applyProtection="1">
      <alignment horizontal="left" vertical="top" wrapText="1"/>
    </xf>
    <xf numFmtId="0" fontId="0" fillId="2" borderId="21" xfId="0" applyFill="1" applyBorder="1" applyProtection="1">
      <protection hidden="1"/>
    </xf>
    <xf numFmtId="164" fontId="7" fillId="0" borderId="10" xfId="0" applyNumberFormat="1" applyFont="1" applyBorder="1" applyAlignment="1" applyProtection="1">
      <alignment horizontal="center"/>
      <protection hidden="1"/>
    </xf>
    <xf numFmtId="164" fontId="7" fillId="0" borderId="9" xfId="0" applyNumberFormat="1" applyFont="1" applyBorder="1" applyAlignment="1" applyProtection="1">
      <alignment horizontal="center"/>
      <protection hidden="1"/>
    </xf>
    <xf numFmtId="164" fontId="7" fillId="0" borderId="9" xfId="0" applyNumberFormat="1" applyFont="1" applyFill="1" applyBorder="1" applyAlignment="1" applyProtection="1">
      <alignment horizontal="center"/>
      <protection hidden="1"/>
    </xf>
    <xf numFmtId="164" fontId="7" fillId="0" borderId="20" xfId="0" applyNumberFormat="1" applyFont="1" applyBorder="1" applyAlignment="1" applyProtection="1">
      <alignment horizontal="center"/>
      <protection hidden="1"/>
    </xf>
    <xf numFmtId="164" fontId="0" fillId="0" borderId="10" xfId="0" applyNumberFormat="1" applyBorder="1" applyAlignment="1" applyProtection="1">
      <alignment horizontal="center"/>
      <protection hidden="1"/>
    </xf>
    <xf numFmtId="164" fontId="0" fillId="0" borderId="9" xfId="0" applyNumberFormat="1" applyBorder="1" applyAlignment="1" applyProtection="1">
      <alignment horizontal="center"/>
      <protection hidden="1"/>
    </xf>
    <xf numFmtId="164" fontId="0" fillId="0" borderId="20" xfId="0" applyNumberFormat="1" applyBorder="1" applyAlignment="1" applyProtection="1">
      <alignment horizontal="center"/>
      <protection hidden="1"/>
    </xf>
    <xf numFmtId="0" fontId="31" fillId="0" borderId="10" xfId="0" applyFont="1" applyBorder="1" applyAlignment="1" applyProtection="1">
      <alignment horizontal="center"/>
      <protection hidden="1"/>
    </xf>
    <xf numFmtId="2" fontId="7" fillId="0" borderId="9" xfId="0" applyNumberFormat="1" applyFont="1" applyBorder="1" applyAlignment="1" applyProtection="1">
      <alignment horizontal="center"/>
      <protection hidden="1"/>
    </xf>
    <xf numFmtId="0" fontId="0" fillId="0" borderId="0" xfId="0" applyAlignment="1" applyProtection="1">
      <alignment vertical="top" wrapText="1" shrinkToFit="1"/>
    </xf>
    <xf numFmtId="0" fontId="0" fillId="0" borderId="0" xfId="0" applyAlignment="1" applyProtection="1">
      <alignment wrapText="1" shrinkToFit="1"/>
    </xf>
    <xf numFmtId="0" fontId="0" fillId="0" borderId="0" xfId="0" applyBorder="1" applyAlignment="1" applyProtection="1">
      <alignment horizontal="left"/>
    </xf>
    <xf numFmtId="0" fontId="0" fillId="2" borderId="18" xfId="0" applyFill="1" applyBorder="1" applyProtection="1">
      <protection hidden="1"/>
    </xf>
    <xf numFmtId="0" fontId="1" fillId="0" borderId="9" xfId="0" applyFont="1" applyBorder="1" applyAlignment="1" applyProtection="1">
      <alignment horizontal="center" vertical="center" wrapText="1"/>
    </xf>
    <xf numFmtId="0" fontId="0" fillId="0" borderId="65" xfId="0" applyBorder="1" applyAlignment="1">
      <alignment horizontal="center" vertical="center"/>
    </xf>
    <xf numFmtId="0" fontId="1" fillId="0" borderId="32" xfId="0" applyFont="1" applyBorder="1" applyAlignment="1">
      <alignment horizontal="center" vertical="center"/>
    </xf>
    <xf numFmtId="0" fontId="1" fillId="0" borderId="65" xfId="0" applyFont="1" applyBorder="1" applyAlignment="1" applyProtection="1">
      <alignment horizontal="center" vertical="center"/>
    </xf>
    <xf numFmtId="0" fontId="1" fillId="0" borderId="32" xfId="0" applyFont="1" applyBorder="1" applyAlignment="1" applyProtection="1">
      <alignment horizontal="center" vertical="center"/>
    </xf>
    <xf numFmtId="0" fontId="0" fillId="0" borderId="32" xfId="0" applyBorder="1" applyAlignment="1">
      <alignment horizontal="center" vertical="center"/>
    </xf>
    <xf numFmtId="0" fontId="0" fillId="0" borderId="32" xfId="0" applyBorder="1" applyAlignment="1">
      <alignment vertical="center"/>
    </xf>
    <xf numFmtId="165" fontId="1" fillId="2" borderId="9" xfId="0" applyNumberFormat="1" applyFont="1" applyFill="1" applyBorder="1" applyAlignment="1" applyProtection="1">
      <alignment horizontal="center" vertical="center"/>
      <protection locked="0"/>
    </xf>
    <xf numFmtId="165" fontId="0" fillId="2" borderId="9" xfId="0" applyNumberFormat="1" applyFill="1" applyBorder="1" applyAlignment="1" applyProtection="1">
      <alignment horizontal="center" vertical="center"/>
      <protection locked="0"/>
    </xf>
    <xf numFmtId="165" fontId="1" fillId="2" borderId="9" xfId="0" applyNumberFormat="1" applyFont="1" applyFill="1" applyBorder="1" applyAlignment="1" applyProtection="1">
      <alignment horizontal="center" vertical="center" wrapText="1"/>
      <protection locked="0"/>
    </xf>
    <xf numFmtId="0" fontId="0" fillId="0" borderId="0" xfId="0" applyNumberFormat="1" applyAlignment="1">
      <alignment vertical="center"/>
    </xf>
    <xf numFmtId="167" fontId="1" fillId="0" borderId="16" xfId="0" applyNumberFormat="1" applyFont="1" applyFill="1" applyBorder="1" applyAlignment="1" applyProtection="1">
      <alignment horizontal="center" vertical="center"/>
    </xf>
    <xf numFmtId="0" fontId="32" fillId="0" borderId="8" xfId="0" applyFont="1" applyFill="1" applyBorder="1" applyProtection="1"/>
    <xf numFmtId="0" fontId="0" fillId="10" borderId="44" xfId="0" applyFill="1" applyBorder="1" applyProtection="1"/>
    <xf numFmtId="0" fontId="0" fillId="10" borderId="49" xfId="0" applyFill="1" applyBorder="1" applyProtection="1"/>
    <xf numFmtId="0" fontId="1" fillId="0" borderId="51" xfId="0" applyFont="1" applyFill="1" applyBorder="1" applyAlignment="1" applyProtection="1">
      <alignment horizontal="left"/>
    </xf>
    <xf numFmtId="0" fontId="1" fillId="0" borderId="51" xfId="0" applyFont="1" applyFill="1" applyBorder="1" applyAlignment="1" applyProtection="1">
      <alignment vertical="center"/>
    </xf>
    <xf numFmtId="0" fontId="1" fillId="0" borderId="42" xfId="0" applyFont="1" applyFill="1" applyBorder="1" applyAlignment="1" applyProtection="1">
      <alignment vertical="center"/>
    </xf>
    <xf numFmtId="0" fontId="30" fillId="0" borderId="55" xfId="0" applyFont="1" applyFill="1" applyBorder="1" applyAlignment="1" applyProtection="1">
      <alignment vertical="center"/>
    </xf>
    <xf numFmtId="0" fontId="2" fillId="0" borderId="18" xfId="0" applyFont="1" applyBorder="1" applyAlignment="1" applyProtection="1">
      <alignment vertical="center" textRotation="90"/>
    </xf>
    <xf numFmtId="0" fontId="32" fillId="10" borderId="68" xfId="0" applyFont="1" applyFill="1" applyBorder="1" applyAlignment="1" applyProtection="1">
      <alignment vertical="center"/>
    </xf>
    <xf numFmtId="0" fontId="32" fillId="0" borderId="69" xfId="0" applyFont="1" applyFill="1" applyBorder="1" applyProtection="1"/>
    <xf numFmtId="164" fontId="0" fillId="0" borderId="0" xfId="0" applyNumberFormat="1" applyAlignment="1" applyProtection="1">
      <alignment vertical="top" wrapText="1"/>
    </xf>
    <xf numFmtId="0" fontId="1" fillId="0" borderId="2" xfId="0" applyFont="1" applyBorder="1" applyAlignment="1" applyProtection="1">
      <alignment wrapText="1"/>
    </xf>
    <xf numFmtId="0" fontId="1" fillId="2" borderId="21" xfId="0" applyFont="1" applyFill="1" applyBorder="1" applyProtection="1">
      <protection locked="0"/>
    </xf>
    <xf numFmtId="1" fontId="0" fillId="0" borderId="18" xfId="0" applyNumberFormat="1" applyFill="1" applyBorder="1" applyProtection="1">
      <protection hidden="1"/>
    </xf>
    <xf numFmtId="0" fontId="1" fillId="0" borderId="9" xfId="0" applyFont="1" applyBorder="1" applyAlignment="1" applyProtection="1">
      <alignment horizontal="center" vertical="center"/>
    </xf>
    <xf numFmtId="0" fontId="0" fillId="6" borderId="9" xfId="0" applyFill="1" applyBorder="1" applyAlignment="1" applyProtection="1">
      <alignment horizontal="center" vertical="center"/>
      <protection locked="0"/>
    </xf>
    <xf numFmtId="0" fontId="2" fillId="0" borderId="0" xfId="0" applyFont="1" applyAlignment="1" applyProtection="1">
      <alignment horizontal="left" vertical="center"/>
    </xf>
    <xf numFmtId="0" fontId="0" fillId="0" borderId="0" xfId="0" applyBorder="1" applyAlignment="1" applyProtection="1">
      <alignment horizontal="left"/>
    </xf>
    <xf numFmtId="0" fontId="34" fillId="0" borderId="0" xfId="0" applyFont="1" applyAlignment="1" applyProtection="1">
      <alignment vertical="center" wrapText="1"/>
      <protection hidden="1"/>
    </xf>
    <xf numFmtId="0" fontId="34" fillId="0" borderId="0" xfId="0" applyFont="1" applyBorder="1" applyAlignment="1" applyProtection="1">
      <alignment vertical="center" wrapText="1"/>
      <protection hidden="1"/>
    </xf>
    <xf numFmtId="0" fontId="1" fillId="0" borderId="0" xfId="0" applyFont="1" applyBorder="1" applyAlignment="1" applyProtection="1">
      <alignment horizontal="center" vertical="center"/>
    </xf>
    <xf numFmtId="0" fontId="1" fillId="0" borderId="36" xfId="0" applyFont="1" applyBorder="1" applyAlignment="1" applyProtection="1">
      <alignment horizontal="center" vertical="center"/>
    </xf>
    <xf numFmtId="0" fontId="5" fillId="0" borderId="0" xfId="0" applyFont="1" applyBorder="1" applyAlignment="1" applyProtection="1">
      <alignment vertical="center"/>
    </xf>
    <xf numFmtId="0" fontId="0" fillId="0" borderId="0" xfId="0" applyBorder="1" applyAlignment="1" applyProtection="1">
      <alignment horizontal="left" vertical="center"/>
    </xf>
    <xf numFmtId="2" fontId="1" fillId="8" borderId="16" xfId="0" quotePrefix="1" applyNumberFormat="1" applyFont="1" applyFill="1" applyBorder="1" applyAlignment="1" applyProtection="1">
      <alignment horizontal="center" vertical="center"/>
    </xf>
    <xf numFmtId="2" fontId="1" fillId="0" borderId="10" xfId="0" quotePrefix="1" applyNumberFormat="1" applyFont="1" applyFill="1" applyBorder="1" applyAlignment="1" applyProtection="1">
      <alignment horizontal="center" vertical="center" wrapText="1"/>
    </xf>
    <xf numFmtId="0" fontId="21" fillId="0" borderId="23" xfId="0" applyFont="1" applyBorder="1" applyAlignment="1">
      <alignment horizontal="center" vertical="center"/>
    </xf>
    <xf numFmtId="0" fontId="21" fillId="0" borderId="9" xfId="0" applyFont="1" applyBorder="1" applyAlignment="1">
      <alignment horizontal="left" vertical="center" wrapText="1"/>
    </xf>
    <xf numFmtId="0" fontId="21" fillId="0" borderId="9" xfId="0" applyFont="1" applyBorder="1" applyAlignment="1">
      <alignment horizontal="center" vertical="center"/>
    </xf>
    <xf numFmtId="168" fontId="21" fillId="0" borderId="30" xfId="0" applyNumberFormat="1" applyFont="1" applyBorder="1" applyAlignment="1">
      <alignment horizontal="center" vertical="center"/>
    </xf>
    <xf numFmtId="0" fontId="21" fillId="0" borderId="9" xfId="0" applyFont="1" applyBorder="1" applyAlignment="1">
      <alignment horizontal="left" vertical="center"/>
    </xf>
    <xf numFmtId="0" fontId="2" fillId="9" borderId="46" xfId="0" applyFont="1" applyFill="1" applyBorder="1" applyAlignment="1" applyProtection="1">
      <alignment horizontal="center" vertical="center"/>
    </xf>
    <xf numFmtId="0" fontId="2" fillId="9" borderId="47" xfId="0" applyFont="1" applyFill="1" applyBorder="1" applyAlignment="1" applyProtection="1">
      <alignment horizontal="center" vertical="center"/>
    </xf>
    <xf numFmtId="0" fontId="2" fillId="9" borderId="48" xfId="0" applyFont="1" applyFill="1" applyBorder="1" applyAlignment="1" applyProtection="1">
      <alignment horizontal="center" vertical="center"/>
    </xf>
    <xf numFmtId="0" fontId="0" fillId="0" borderId="52" xfId="0" applyBorder="1" applyAlignment="1" applyProtection="1">
      <alignment horizontal="center" vertical="center"/>
    </xf>
    <xf numFmtId="0" fontId="0" fillId="0" borderId="57" xfId="0" applyBorder="1" applyAlignment="1" applyProtection="1">
      <alignment horizontal="center" vertical="center"/>
    </xf>
    <xf numFmtId="0" fontId="5" fillId="0" borderId="18" xfId="0" applyFont="1" applyBorder="1" applyAlignment="1" applyProtection="1">
      <alignment horizontal="center" vertical="center" textRotation="90"/>
    </xf>
    <xf numFmtId="0" fontId="5" fillId="0" borderId="21" xfId="0" applyFont="1" applyBorder="1" applyAlignment="1" applyProtection="1">
      <alignment horizontal="center" vertical="center" textRotation="90"/>
    </xf>
    <xf numFmtId="0" fontId="5" fillId="0" borderId="19" xfId="0" applyFont="1" applyBorder="1" applyAlignment="1" applyProtection="1">
      <alignment horizontal="center" vertical="center" textRotation="90"/>
    </xf>
    <xf numFmtId="0" fontId="2" fillId="0" borderId="2" xfId="0" applyFont="1" applyBorder="1" applyAlignment="1" applyProtection="1">
      <alignment horizontal="center" vertical="center"/>
    </xf>
    <xf numFmtId="0" fontId="2" fillId="0" borderId="34" xfId="0" applyFont="1" applyBorder="1" applyAlignment="1" applyProtection="1">
      <alignment horizontal="center" vertical="center"/>
    </xf>
    <xf numFmtId="0" fontId="20" fillId="0" borderId="6" xfId="0" applyFont="1" applyFill="1" applyBorder="1" applyAlignment="1" applyProtection="1">
      <alignment horizontal="center" vertical="center" wrapText="1"/>
      <protection locked="0"/>
    </xf>
    <xf numFmtId="0" fontId="20" fillId="0" borderId="35" xfId="0" applyFont="1" applyFill="1" applyBorder="1" applyAlignment="1" applyProtection="1">
      <alignment horizontal="center" vertical="center" wrapText="1"/>
      <protection locked="0"/>
    </xf>
    <xf numFmtId="0" fontId="2" fillId="0" borderId="0" xfId="0" applyFont="1" applyFill="1" applyBorder="1" applyAlignment="1" applyProtection="1">
      <alignment horizontal="left" vertical="center"/>
    </xf>
    <xf numFmtId="0" fontId="2" fillId="0" borderId="0" xfId="0" applyFont="1" applyBorder="1" applyAlignment="1" applyProtection="1">
      <alignment horizontal="left" vertical="center" wrapText="1"/>
    </xf>
    <xf numFmtId="0" fontId="2" fillId="0" borderId="0" xfId="0" applyFont="1" applyBorder="1" applyAlignment="1" applyProtection="1">
      <alignment horizontal="left" vertical="center"/>
    </xf>
    <xf numFmtId="0" fontId="2" fillId="0" borderId="0" xfId="0" applyFont="1" applyAlignment="1" applyProtection="1">
      <alignment horizontal="left" vertical="center"/>
    </xf>
    <xf numFmtId="0" fontId="2" fillId="0" borderId="13" xfId="0" applyFont="1" applyBorder="1" applyAlignment="1" applyProtection="1">
      <alignment horizontal="left" vertical="center"/>
    </xf>
    <xf numFmtId="0" fontId="2" fillId="0" borderId="1" xfId="0" applyFont="1" applyBorder="1" applyAlignment="1" applyProtection="1">
      <alignment horizontal="center" vertical="center" textRotation="90" wrapText="1"/>
    </xf>
    <xf numFmtId="0" fontId="2" fillId="0" borderId="4" xfId="0" applyFont="1" applyBorder="1" applyAlignment="1" applyProtection="1">
      <alignment horizontal="center" vertical="center" textRotation="90" wrapText="1"/>
    </xf>
    <xf numFmtId="0" fontId="1" fillId="0" borderId="0" xfId="0" applyFont="1" applyBorder="1" applyAlignment="1" applyProtection="1">
      <alignment horizontal="right" vertical="center"/>
    </xf>
    <xf numFmtId="0" fontId="5" fillId="0" borderId="0" xfId="0" applyFont="1" applyBorder="1" applyAlignment="1" applyProtection="1">
      <alignment horizontal="left" vertical="center"/>
    </xf>
    <xf numFmtId="0" fontId="2" fillId="0" borderId="0" xfId="0" applyFont="1" applyAlignment="1" applyProtection="1">
      <alignment horizontal="right" vertical="center"/>
    </xf>
    <xf numFmtId="0" fontId="2" fillId="0" borderId="13" xfId="0" applyFont="1" applyBorder="1" applyAlignment="1" applyProtection="1">
      <alignment horizontal="right" vertical="center"/>
    </xf>
    <xf numFmtId="0" fontId="1" fillId="0" borderId="0" xfId="0" applyFont="1" applyAlignment="1" applyProtection="1">
      <alignment horizontal="left" vertical="center"/>
    </xf>
    <xf numFmtId="0" fontId="0" fillId="0" borderId="0" xfId="0" applyAlignment="1" applyProtection="1">
      <alignment horizontal="left" vertical="center"/>
    </xf>
    <xf numFmtId="0" fontId="34" fillId="0" borderId="37" xfId="0" applyFont="1" applyBorder="1" applyAlignment="1" applyProtection="1">
      <alignment horizontal="center" vertical="center" wrapText="1"/>
      <protection hidden="1"/>
    </xf>
    <xf numFmtId="0" fontId="34" fillId="0" borderId="0" xfId="0" applyFont="1" applyBorder="1" applyAlignment="1" applyProtection="1">
      <alignment horizontal="center" vertical="center" wrapText="1"/>
      <protection hidden="1"/>
    </xf>
    <xf numFmtId="0" fontId="2" fillId="0" borderId="0" xfId="0" applyFont="1" applyAlignment="1" applyProtection="1">
      <alignment horizontal="left" vertical="center" wrapText="1"/>
    </xf>
    <xf numFmtId="0" fontId="2" fillId="0" borderId="13" xfId="0" applyFont="1" applyBorder="1" applyAlignment="1" applyProtection="1">
      <alignment horizontal="left" vertical="center" wrapText="1"/>
    </xf>
    <xf numFmtId="0" fontId="1" fillId="0" borderId="9" xfId="0" applyFont="1" applyBorder="1" applyAlignment="1" applyProtection="1">
      <alignment horizontal="center" vertical="center"/>
    </xf>
    <xf numFmtId="0" fontId="2" fillId="0" borderId="17" xfId="0" applyFont="1" applyBorder="1" applyAlignment="1" applyProtection="1">
      <alignment horizontal="right" vertical="center"/>
    </xf>
    <xf numFmtId="0" fontId="0" fillId="6" borderId="9" xfId="0" applyFill="1" applyBorder="1" applyAlignment="1" applyProtection="1">
      <alignment horizontal="center" vertical="center"/>
      <protection locked="0"/>
    </xf>
    <xf numFmtId="0" fontId="1" fillId="6" borderId="9" xfId="0" applyFont="1" applyFill="1" applyBorder="1" applyAlignment="1" applyProtection="1">
      <alignment horizontal="center" vertical="center"/>
      <protection locked="0"/>
    </xf>
    <xf numFmtId="0" fontId="1" fillId="0" borderId="27" xfId="0" applyFont="1" applyBorder="1" applyAlignment="1" applyProtection="1">
      <alignment horizontal="center" vertical="center"/>
    </xf>
    <xf numFmtId="0" fontId="2" fillId="6" borderId="41" xfId="0" applyFont="1" applyFill="1" applyBorder="1" applyAlignment="1" applyProtection="1">
      <alignment horizontal="center" vertical="center" wrapText="1"/>
    </xf>
    <xf numFmtId="0" fontId="2" fillId="6" borderId="70" xfId="0" applyFont="1" applyFill="1" applyBorder="1" applyAlignment="1" applyProtection="1">
      <alignment horizontal="center" vertical="center" wrapText="1"/>
    </xf>
    <xf numFmtId="0" fontId="2" fillId="6" borderId="43" xfId="0" applyFont="1" applyFill="1" applyBorder="1" applyAlignment="1" applyProtection="1">
      <alignment horizontal="center" vertical="center" wrapText="1"/>
    </xf>
    <xf numFmtId="0" fontId="2" fillId="6" borderId="71" xfId="0" applyFont="1" applyFill="1" applyBorder="1" applyAlignment="1" applyProtection="1">
      <alignment horizontal="center" vertical="center" wrapText="1"/>
    </xf>
    <xf numFmtId="0" fontId="0" fillId="0" borderId="0" xfId="0" applyAlignment="1" applyProtection="1">
      <alignment horizontal="right" vertical="center"/>
    </xf>
    <xf numFmtId="0" fontId="2" fillId="0" borderId="0" xfId="0" applyFont="1" applyFill="1" applyBorder="1" applyAlignment="1" applyProtection="1">
      <alignment horizontal="right" vertical="center"/>
    </xf>
    <xf numFmtId="0" fontId="2" fillId="0" borderId="13" xfId="0" applyFont="1" applyFill="1" applyBorder="1" applyAlignment="1" applyProtection="1">
      <alignment horizontal="right" vertical="center"/>
    </xf>
    <xf numFmtId="0" fontId="2" fillId="0" borderId="0" xfId="0" applyFont="1" applyAlignment="1" applyProtection="1">
      <alignment horizontal="right" vertical="center" wrapText="1"/>
    </xf>
    <xf numFmtId="0" fontId="2" fillId="0" borderId="13" xfId="0" applyFont="1" applyBorder="1" applyAlignment="1" applyProtection="1">
      <alignment horizontal="right" vertical="center" wrapText="1"/>
    </xf>
    <xf numFmtId="0" fontId="0" fillId="0" borderId="67" xfId="0" applyBorder="1" applyAlignment="1" applyProtection="1">
      <alignment horizontal="center" vertical="center"/>
    </xf>
    <xf numFmtId="0" fontId="0" fillId="0" borderId="19" xfId="0" applyBorder="1" applyAlignment="1" applyProtection="1">
      <alignment horizontal="center" vertical="center"/>
    </xf>
    <xf numFmtId="0" fontId="2" fillId="0" borderId="0" xfId="0" applyFont="1" applyBorder="1" applyAlignment="1" applyProtection="1">
      <alignment horizontal="right" vertical="center" wrapText="1"/>
    </xf>
    <xf numFmtId="0" fontId="1" fillId="0" borderId="0" xfId="0" applyFont="1" applyAlignment="1" applyProtection="1">
      <alignment horizontal="left" vertical="center" wrapText="1"/>
    </xf>
    <xf numFmtId="0" fontId="2" fillId="0" borderId="13" xfId="0" applyFont="1" applyFill="1" applyBorder="1" applyAlignment="1" applyProtection="1">
      <alignment horizontal="left" vertical="center"/>
    </xf>
    <xf numFmtId="0" fontId="17" fillId="0" borderId="0" xfId="0" applyFont="1" applyAlignment="1">
      <alignment horizontal="center" vertical="center" wrapText="1"/>
    </xf>
    <xf numFmtId="0" fontId="15" fillId="0" borderId="0" xfId="0" applyFont="1" applyAlignment="1" applyProtection="1">
      <alignment horizontal="left" vertical="center" wrapText="1"/>
      <protection locked="0"/>
    </xf>
    <xf numFmtId="0" fontId="12" fillId="0" borderId="0" xfId="0" applyFont="1" applyAlignment="1" applyProtection="1">
      <alignment horizontal="left" vertical="center" wrapText="1"/>
      <protection locked="0"/>
    </xf>
    <xf numFmtId="0" fontId="5" fillId="0" borderId="0" xfId="0" applyFont="1" applyAlignment="1" applyProtection="1">
      <alignment horizontal="center" vertical="center"/>
    </xf>
    <xf numFmtId="0" fontId="18" fillId="0" borderId="37" xfId="0" applyFont="1" applyBorder="1" applyAlignment="1">
      <alignment vertical="center" wrapText="1"/>
    </xf>
    <xf numFmtId="0" fontId="18" fillId="0" borderId="0" xfId="0" applyFont="1" applyAlignment="1">
      <alignment vertical="center" wrapText="1"/>
    </xf>
    <xf numFmtId="0" fontId="18" fillId="0" borderId="0" xfId="0" applyFont="1" applyAlignment="1">
      <alignment horizontal="center" vertical="center" wrapText="1"/>
    </xf>
    <xf numFmtId="0" fontId="5" fillId="0" borderId="0" xfId="0" applyFont="1" applyAlignment="1" applyProtection="1">
      <alignment horizontal="center" vertical="center"/>
      <protection locked="0"/>
    </xf>
    <xf numFmtId="0" fontId="0" fillId="0" borderId="0" xfId="0" applyAlignment="1" applyProtection="1">
      <alignment horizontal="center" vertical="center"/>
      <protection locked="0"/>
    </xf>
    <xf numFmtId="0" fontId="2" fillId="0" borderId="9" xfId="0" applyFont="1" applyFill="1" applyBorder="1" applyAlignment="1" applyProtection="1">
      <alignment horizontal="center" vertical="center"/>
    </xf>
    <xf numFmtId="0" fontId="2" fillId="0" borderId="9" xfId="0" applyFont="1" applyBorder="1" applyAlignment="1" applyProtection="1">
      <alignment horizontal="center" vertical="center" wrapText="1"/>
    </xf>
    <xf numFmtId="0" fontId="2" fillId="0" borderId="20" xfId="0" applyFont="1" applyBorder="1" applyAlignment="1" applyProtection="1">
      <alignment horizontal="center" vertical="center"/>
    </xf>
    <xf numFmtId="0" fontId="2" fillId="0" borderId="20" xfId="0" applyFont="1" applyFill="1" applyBorder="1" applyAlignment="1" applyProtection="1">
      <alignment horizontal="center" vertical="center"/>
    </xf>
    <xf numFmtId="0" fontId="0" fillId="0" borderId="9" xfId="0" applyBorder="1" applyAlignment="1" applyProtection="1">
      <alignment horizontal="center" vertical="center"/>
    </xf>
    <xf numFmtId="0" fontId="0" fillId="0" borderId="20" xfId="0" applyBorder="1" applyAlignment="1" applyProtection="1">
      <alignment horizontal="center" vertical="center"/>
    </xf>
    <xf numFmtId="0" fontId="21" fillId="0" borderId="9" xfId="0" applyFont="1" applyBorder="1" applyAlignment="1" applyProtection="1">
      <alignment horizontal="center" vertical="center"/>
    </xf>
    <xf numFmtId="0" fontId="21" fillId="0" borderId="20" xfId="0" applyFont="1" applyBorder="1" applyAlignment="1" applyProtection="1">
      <alignment horizontal="center" vertical="center"/>
    </xf>
    <xf numFmtId="0" fontId="23" fillId="0" borderId="9" xfId="0" applyFont="1" applyFill="1" applyBorder="1" applyAlignment="1" applyProtection="1">
      <alignment horizontal="center" vertical="center"/>
    </xf>
    <xf numFmtId="0" fontId="23" fillId="0" borderId="20" xfId="0" applyFont="1" applyFill="1" applyBorder="1" applyAlignment="1" applyProtection="1">
      <alignment horizontal="center" vertical="center"/>
    </xf>
    <xf numFmtId="0" fontId="1" fillId="0" borderId="0" xfId="0" applyFont="1" applyAlignment="1" applyProtection="1">
      <alignment vertical="top" wrapText="1" shrinkToFit="1"/>
    </xf>
    <xf numFmtId="0" fontId="0" fillId="0" borderId="0" xfId="0" applyBorder="1" applyAlignment="1" applyProtection="1">
      <alignment wrapText="1"/>
    </xf>
    <xf numFmtId="0" fontId="27" fillId="0" borderId="0" xfId="0" applyFont="1" applyAlignment="1" applyProtection="1">
      <alignment horizontal="center" vertical="center"/>
    </xf>
    <xf numFmtId="0" fontId="27" fillId="0" borderId="5" xfId="0" applyFont="1" applyBorder="1" applyAlignment="1" applyProtection="1">
      <alignment horizontal="center" vertical="center"/>
    </xf>
    <xf numFmtId="0" fontId="2" fillId="0" borderId="0" xfId="0" applyFont="1" applyBorder="1" applyAlignment="1" applyProtection="1">
      <alignment horizontal="center"/>
    </xf>
    <xf numFmtId="0" fontId="0" fillId="0" borderId="0" xfId="0" applyAlignment="1" applyProtection="1">
      <alignment vertical="top" wrapText="1" shrinkToFit="1"/>
    </xf>
    <xf numFmtId="0" fontId="34" fillId="0" borderId="66" xfId="0" applyFont="1" applyBorder="1" applyAlignment="1" applyProtection="1">
      <alignment horizontal="center" wrapText="1"/>
      <protection hidden="1"/>
    </xf>
    <xf numFmtId="0" fontId="34" fillId="0" borderId="4" xfId="0" applyFont="1" applyBorder="1" applyAlignment="1" applyProtection="1">
      <alignment horizontal="center" wrapText="1"/>
      <protection hidden="1"/>
    </xf>
    <xf numFmtId="14" fontId="29" fillId="0" borderId="0" xfId="0" applyNumberFormat="1" applyFont="1" applyAlignment="1" applyProtection="1">
      <alignment horizontal="center"/>
    </xf>
    <xf numFmtId="0" fontId="0" fillId="0" borderId="0" xfId="0" applyAlignment="1" applyProtection="1">
      <alignment wrapText="1" shrinkToFit="1"/>
    </xf>
    <xf numFmtId="0" fontId="0" fillId="0" borderId="0" xfId="0" applyAlignment="1">
      <alignment wrapText="1"/>
    </xf>
    <xf numFmtId="0" fontId="2" fillId="0" borderId="2" xfId="0" applyFont="1" applyBorder="1" applyAlignment="1" applyProtection="1">
      <alignment horizontal="left"/>
    </xf>
    <xf numFmtId="0" fontId="2" fillId="0" borderId="3" xfId="0" applyFont="1" applyBorder="1" applyAlignment="1" applyProtection="1">
      <alignment horizontal="left"/>
    </xf>
    <xf numFmtId="166" fontId="0" fillId="0" borderId="0" xfId="0" applyNumberFormat="1" applyBorder="1" applyAlignment="1" applyProtection="1">
      <alignment horizontal="left"/>
    </xf>
    <xf numFmtId="166" fontId="0" fillId="0" borderId="5" xfId="0" applyNumberFormat="1" applyBorder="1" applyAlignment="1" applyProtection="1">
      <alignment horizontal="left"/>
    </xf>
    <xf numFmtId="0" fontId="0" fillId="0" borderId="0" xfId="0" applyBorder="1" applyAlignment="1" applyProtection="1">
      <alignment horizontal="left"/>
    </xf>
    <xf numFmtId="0" fontId="0" fillId="0" borderId="5" xfId="0" applyBorder="1" applyAlignment="1" applyProtection="1">
      <alignment horizontal="left"/>
    </xf>
    <xf numFmtId="0" fontId="0" fillId="0" borderId="7" xfId="0" applyBorder="1" applyAlignment="1" applyProtection="1">
      <alignment horizontal="left"/>
    </xf>
    <xf numFmtId="0" fontId="0" fillId="0" borderId="8" xfId="0" applyBorder="1" applyAlignment="1" applyProtection="1">
      <alignment horizontal="left"/>
    </xf>
    <xf numFmtId="2" fontId="22" fillId="0" borderId="53" xfId="0" applyNumberFormat="1" applyFont="1" applyBorder="1" applyAlignment="1" applyProtection="1">
      <alignment horizontal="center" vertical="center"/>
    </xf>
    <xf numFmtId="2" fontId="22" fillId="0" borderId="58" xfId="0" applyNumberFormat="1" applyFont="1" applyBorder="1" applyAlignment="1" applyProtection="1">
      <alignment horizontal="center" vertical="center"/>
    </xf>
    <xf numFmtId="2" fontId="22" fillId="0" borderId="54" xfId="0" applyNumberFormat="1" applyFont="1" applyBorder="1" applyAlignment="1" applyProtection="1">
      <alignment horizontal="center" vertical="center"/>
    </xf>
  </cellXfs>
  <cellStyles count="1">
    <cellStyle name="Normal" xfId="0" builtinId="0"/>
  </cellStyles>
  <dxfs count="10">
    <dxf>
      <font>
        <color theme="1"/>
      </font>
      <fill>
        <patternFill>
          <bgColor rgb="FFD1CC00"/>
        </patternFill>
      </fill>
    </dxf>
    <dxf>
      <font>
        <color theme="1"/>
      </font>
      <fill>
        <patternFill>
          <bgColor rgb="FFD1CC00"/>
        </patternFill>
      </fill>
    </dxf>
    <dxf>
      <font>
        <color rgb="FF9C0006"/>
      </font>
      <fill>
        <patternFill>
          <bgColor rgb="FFFFC7CE"/>
        </patternFill>
      </fill>
    </dxf>
    <dxf>
      <font>
        <color theme="1"/>
      </font>
      <fill>
        <patternFill>
          <bgColor rgb="FFD5D000"/>
        </patternFill>
      </fill>
    </dxf>
    <dxf>
      <fill>
        <patternFill>
          <bgColor rgb="FFFF0000"/>
        </patternFill>
      </fill>
    </dxf>
    <dxf>
      <fill>
        <patternFill>
          <bgColor rgb="FFFF0000"/>
        </patternFill>
      </fill>
    </dxf>
    <dxf>
      <border>
        <left style="thin">
          <color rgb="FFFF0000"/>
        </left>
        <right style="thin">
          <color rgb="FFFF0000"/>
        </right>
        <top style="thin">
          <color rgb="FFFF0000"/>
        </top>
        <bottom style="thin">
          <color rgb="FFFF0000"/>
        </bottom>
        <vertical/>
        <horizontal/>
      </border>
    </dxf>
    <dxf>
      <border>
        <left style="thin">
          <color rgb="FFFF0000"/>
        </left>
        <right style="thin">
          <color rgb="FFFF0000"/>
        </right>
        <top style="thin">
          <color rgb="FFFF0000"/>
        </top>
        <bottom style="thin">
          <color rgb="FFFF0000"/>
        </bottom>
        <vertical/>
        <horizontal/>
      </border>
    </dxf>
    <dxf>
      <border>
        <left style="thin">
          <color rgb="FFFF0000"/>
        </left>
        <right style="thin">
          <color rgb="FFFF0000"/>
        </right>
        <top style="thin">
          <color rgb="FFFF0000"/>
        </top>
        <bottom style="thin">
          <color rgb="FFFF0000"/>
        </bottom>
        <vertical/>
        <horizontal/>
      </border>
    </dxf>
    <dxf>
      <border>
        <left style="thin">
          <color rgb="FFFF0000"/>
        </left>
        <right style="thin">
          <color rgb="FFFF0000"/>
        </right>
        <top style="thin">
          <color rgb="FFFF0000"/>
        </top>
        <bottom style="thin">
          <color rgb="FFFF0000"/>
        </bottom>
      </border>
    </dxf>
  </dxfs>
  <tableStyles count="0" defaultTableStyle="TableStyleMedium9" defaultPivotStyle="PivotStyleLight16"/>
  <colors>
    <mruColors>
      <color rgb="FFB9DCFF"/>
      <color rgb="FF5B8FDB"/>
      <color rgb="FF5E86C6"/>
      <color rgb="FFFF9999"/>
      <color rgb="FFFF7C80"/>
      <color rgb="FFFF5050"/>
      <color rgb="FFD5D000"/>
      <color rgb="FFBCB800"/>
      <color rgb="FFD1CC00"/>
      <color rgb="FFD9E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ustomXml" Target="../customXml/item1.xml"/></Relationships>
</file>

<file path=xl/ctrlProps/ctrlProp1.xml><?xml version="1.0" encoding="utf-8"?>
<formControlPr xmlns="http://schemas.microsoft.com/office/spreadsheetml/2009/9/main" objectType="CheckBox" fmlaLink="Constants!$S$11" lockText="1" noThreeD="1"/>
</file>

<file path=xl/ctrlProps/ctrlProp2.xml><?xml version="1.0" encoding="utf-8"?>
<formControlPr xmlns="http://schemas.microsoft.com/office/spreadsheetml/2009/9/main" objectType="CheckBox" fmlaLink="Constants!$D$86" lockText="1" noThreeD="1"/>
</file>

<file path=xl/ctrlProps/ctrlProp3.xml><?xml version="1.0" encoding="utf-8"?>
<formControlPr xmlns="http://schemas.microsoft.com/office/spreadsheetml/2009/9/main" objectType="CheckBox" fmlaLink="Constants!$D$87" lockText="1" noThreeD="1"/>
</file>

<file path=xl/ctrlProps/ctrlProp4.xml><?xml version="1.0" encoding="utf-8"?>
<formControlPr xmlns="http://schemas.microsoft.com/office/spreadsheetml/2009/9/main" objectType="CheckBox" fmlaLink="Constants!$D$89" lockText="1" noThreeD="1"/>
</file>

<file path=xl/ctrlProps/ctrlProp5.xml><?xml version="1.0" encoding="utf-8"?>
<formControlPr xmlns="http://schemas.microsoft.com/office/spreadsheetml/2009/9/main" objectType="CheckBox" checked="Checked" fmlaLink="Constants!$M$11" lockText="1" noThreeD="1"/>
</file>

<file path=xl/ctrlProps/ctrlProp6.xml><?xml version="1.0" encoding="utf-8"?>
<formControlPr xmlns="http://schemas.microsoft.com/office/spreadsheetml/2009/9/main" objectType="CheckBox" fmlaLink="Constants!$M$13" lockText="1" noThreeD="1"/>
</file>

<file path=xl/ctrlProps/ctrlProp7.xml><?xml version="1.0" encoding="utf-8"?>
<formControlPr xmlns="http://schemas.microsoft.com/office/spreadsheetml/2009/9/main" objectType="CheckBox" fmlaLink="Constants!$R$11"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2.jpeg"/></Relationships>
</file>

<file path=xl/drawings/_rels/drawing3.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1.jpeg"/></Relationships>
</file>

<file path=xl/drawings/_rels/drawing4.xml.rels><?xml version="1.0" encoding="UTF-8" standalone="yes"?>
<Relationships xmlns="http://schemas.openxmlformats.org/package/2006/relationships"><Relationship Id="rId1" Type="http://schemas.openxmlformats.org/officeDocument/2006/relationships/image" Target="../media/image2.jpeg"/></Relationships>
</file>

<file path=xl/drawings/_rels/drawing5.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5.jpeg"/></Relationships>
</file>

<file path=xl/drawings/_rels/drawing6.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4.PNG"/><Relationship Id="rId1" Type="http://schemas.openxmlformats.org/officeDocument/2006/relationships/image" Target="../media/image6.jpeg"/></Relationships>
</file>

<file path=xl/drawings/_rels/drawing7.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4.PNG"/><Relationship Id="rId1" Type="http://schemas.openxmlformats.org/officeDocument/2006/relationships/image" Target="../media/image6.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1022350</xdr:colOff>
          <xdr:row>22</xdr:row>
          <xdr:rowOff>76200</xdr:rowOff>
        </xdr:from>
        <xdr:to>
          <xdr:col>3</xdr:col>
          <xdr:colOff>1231900</xdr:colOff>
          <xdr:row>22</xdr:row>
          <xdr:rowOff>247650</xdr:rowOff>
        </xdr:to>
        <xdr:sp macro="" textlink="">
          <xdr:nvSpPr>
            <xdr:cNvPr id="1056" name="Check Box 32" hidden="1">
              <a:extLst>
                <a:ext uri="{63B3BB69-23CF-44E3-9099-C40C66FF867C}">
                  <a14:compatExt spid="_x0000_s1056"/>
                </a:ext>
                <a:ext uri="{FF2B5EF4-FFF2-40B4-BE49-F238E27FC236}">
                  <a16:creationId xmlns:a16="http://schemas.microsoft.com/office/drawing/2014/main" id="{00000000-0008-0000-0000-00002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1022350</xdr:colOff>
          <xdr:row>23</xdr:row>
          <xdr:rowOff>76200</xdr:rowOff>
        </xdr:from>
        <xdr:to>
          <xdr:col>3</xdr:col>
          <xdr:colOff>1231900</xdr:colOff>
          <xdr:row>23</xdr:row>
          <xdr:rowOff>247650</xdr:rowOff>
        </xdr:to>
        <xdr:sp macro="" textlink="">
          <xdr:nvSpPr>
            <xdr:cNvPr id="1062" name="Check Box 38" hidden="1">
              <a:extLst>
                <a:ext uri="{63B3BB69-23CF-44E3-9099-C40C66FF867C}">
                  <a14:compatExt spid="_x0000_s1062"/>
                </a:ext>
                <a:ext uri="{FF2B5EF4-FFF2-40B4-BE49-F238E27FC236}">
                  <a16:creationId xmlns:a16="http://schemas.microsoft.com/office/drawing/2014/main" id="{00000000-0008-0000-0000-00002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1009650</xdr:colOff>
          <xdr:row>24</xdr:row>
          <xdr:rowOff>95250</xdr:rowOff>
        </xdr:from>
        <xdr:to>
          <xdr:col>3</xdr:col>
          <xdr:colOff>1219200</xdr:colOff>
          <xdr:row>24</xdr:row>
          <xdr:rowOff>247650</xdr:rowOff>
        </xdr:to>
        <xdr:sp macro="" textlink="">
          <xdr:nvSpPr>
            <xdr:cNvPr id="1064" name="Check Box 40" hidden="1">
              <a:extLst>
                <a:ext uri="{63B3BB69-23CF-44E3-9099-C40C66FF867C}">
                  <a14:compatExt spid="_x0000_s1064"/>
                </a:ext>
                <a:ext uri="{FF2B5EF4-FFF2-40B4-BE49-F238E27FC236}">
                  <a16:creationId xmlns:a16="http://schemas.microsoft.com/office/drawing/2014/main" id="{00000000-0008-0000-0000-00002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1009650</xdr:colOff>
          <xdr:row>28</xdr:row>
          <xdr:rowOff>19050</xdr:rowOff>
        </xdr:from>
        <xdr:to>
          <xdr:col>3</xdr:col>
          <xdr:colOff>1219200</xdr:colOff>
          <xdr:row>29</xdr:row>
          <xdr:rowOff>50800</xdr:rowOff>
        </xdr:to>
        <xdr:sp macro="" textlink="">
          <xdr:nvSpPr>
            <xdr:cNvPr id="1082" name="Check Box 58" hidden="1">
              <a:extLst>
                <a:ext uri="{63B3BB69-23CF-44E3-9099-C40C66FF867C}">
                  <a14:compatExt spid="_x0000_s1082"/>
                </a:ext>
                <a:ext uri="{FF2B5EF4-FFF2-40B4-BE49-F238E27FC236}">
                  <a16:creationId xmlns:a16="http://schemas.microsoft.com/office/drawing/2014/main" id="{00000000-0008-0000-0000-00003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342900</xdr:colOff>
          <xdr:row>27</xdr:row>
          <xdr:rowOff>57150</xdr:rowOff>
        </xdr:from>
        <xdr:to>
          <xdr:col>3</xdr:col>
          <xdr:colOff>571500</xdr:colOff>
          <xdr:row>27</xdr:row>
          <xdr:rowOff>285750</xdr:rowOff>
        </xdr:to>
        <xdr:sp macro="" textlink="">
          <xdr:nvSpPr>
            <xdr:cNvPr id="1086" name="Check Box 62" hidden="1">
              <a:extLst>
                <a:ext uri="{63B3BB69-23CF-44E3-9099-C40C66FF867C}">
                  <a14:compatExt spid="_x0000_s1086"/>
                </a:ext>
                <a:ext uri="{FF2B5EF4-FFF2-40B4-BE49-F238E27FC236}">
                  <a16:creationId xmlns:a16="http://schemas.microsoft.com/office/drawing/2014/main" id="{00000000-0008-0000-0000-00003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1276350</xdr:colOff>
          <xdr:row>27</xdr:row>
          <xdr:rowOff>57150</xdr:rowOff>
        </xdr:from>
        <xdr:to>
          <xdr:col>3</xdr:col>
          <xdr:colOff>1581150</xdr:colOff>
          <xdr:row>27</xdr:row>
          <xdr:rowOff>285750</xdr:rowOff>
        </xdr:to>
        <xdr:sp macro="" textlink="">
          <xdr:nvSpPr>
            <xdr:cNvPr id="1108" name="Check Box 84" hidden="1">
              <a:extLst>
                <a:ext uri="{63B3BB69-23CF-44E3-9099-C40C66FF867C}">
                  <a14:compatExt spid="_x0000_s1108"/>
                </a:ext>
                <a:ext uri="{FF2B5EF4-FFF2-40B4-BE49-F238E27FC236}">
                  <a16:creationId xmlns:a16="http://schemas.microsoft.com/office/drawing/2014/main" id="{00000000-0008-0000-0000-00005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1003300</xdr:colOff>
          <xdr:row>25</xdr:row>
          <xdr:rowOff>57150</xdr:rowOff>
        </xdr:from>
        <xdr:to>
          <xdr:col>3</xdr:col>
          <xdr:colOff>1955800</xdr:colOff>
          <xdr:row>25</xdr:row>
          <xdr:rowOff>266700</xdr:rowOff>
        </xdr:to>
        <xdr:sp macro="" textlink="">
          <xdr:nvSpPr>
            <xdr:cNvPr id="1124" name="Check Box 100" hidden="1">
              <a:extLst>
                <a:ext uri="{63B3BB69-23CF-44E3-9099-C40C66FF867C}">
                  <a14:compatExt spid="_x0000_s1124"/>
                </a:ext>
                <a:ext uri="{FF2B5EF4-FFF2-40B4-BE49-F238E27FC236}">
                  <a16:creationId xmlns:a16="http://schemas.microsoft.com/office/drawing/2014/main" id="{00000000-0008-0000-0000-00006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twoCellAnchor editAs="oneCell">
    <xdr:from>
      <xdr:col>1</xdr:col>
      <xdr:colOff>0</xdr:colOff>
      <xdr:row>0</xdr:row>
      <xdr:rowOff>0</xdr:rowOff>
    </xdr:from>
    <xdr:to>
      <xdr:col>2</xdr:col>
      <xdr:colOff>2456574</xdr:colOff>
      <xdr:row>3</xdr:row>
      <xdr:rowOff>82229</xdr:rowOff>
    </xdr:to>
    <xdr:pic>
      <xdr:nvPicPr>
        <xdr:cNvPr id="12" name="Picture 11">
          <a:extLst>
            <a:ext uri="{FF2B5EF4-FFF2-40B4-BE49-F238E27FC236}">
              <a16:creationId xmlns:a16="http://schemas.microsoft.com/office/drawing/2014/main" id="{00000000-0008-0000-0000-00000C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09600" y="0"/>
          <a:ext cx="2913774" cy="672779"/>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6</xdr:col>
      <xdr:colOff>215339</xdr:colOff>
      <xdr:row>40</xdr:row>
      <xdr:rowOff>190501</xdr:rowOff>
    </xdr:from>
    <xdr:to>
      <xdr:col>6</xdr:col>
      <xdr:colOff>828253</xdr:colOff>
      <xdr:row>41</xdr:row>
      <xdr:rowOff>231914</xdr:rowOff>
    </xdr:to>
    <xdr:sp macro="" textlink="">
      <xdr:nvSpPr>
        <xdr:cNvPr id="92" name="TextBox 91">
          <a:extLst>
            <a:ext uri="{FF2B5EF4-FFF2-40B4-BE49-F238E27FC236}">
              <a16:creationId xmlns:a16="http://schemas.microsoft.com/office/drawing/2014/main" id="{00000000-0008-0000-0100-00005C000000}"/>
            </a:ext>
          </a:extLst>
        </xdr:cNvPr>
        <xdr:cNvSpPr txBox="1"/>
      </xdr:nvSpPr>
      <xdr:spPr>
        <a:xfrm>
          <a:off x="6385882" y="8829262"/>
          <a:ext cx="612914" cy="27332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a:t>Bottom</a:t>
          </a:r>
        </a:p>
      </xdr:txBody>
    </xdr:sp>
    <xdr:clientData/>
  </xdr:twoCellAnchor>
  <xdr:twoCellAnchor>
    <xdr:from>
      <xdr:col>6</xdr:col>
      <xdr:colOff>339577</xdr:colOff>
      <xdr:row>39</xdr:row>
      <xdr:rowOff>149086</xdr:rowOff>
    </xdr:from>
    <xdr:to>
      <xdr:col>6</xdr:col>
      <xdr:colOff>861398</xdr:colOff>
      <xdr:row>40</xdr:row>
      <xdr:rowOff>190499</xdr:rowOff>
    </xdr:to>
    <xdr:sp macro="" textlink="">
      <xdr:nvSpPr>
        <xdr:cNvPr id="88" name="TextBox 87">
          <a:extLst>
            <a:ext uri="{FF2B5EF4-FFF2-40B4-BE49-F238E27FC236}">
              <a16:creationId xmlns:a16="http://schemas.microsoft.com/office/drawing/2014/main" id="{00000000-0008-0000-0100-000058000000}"/>
            </a:ext>
          </a:extLst>
        </xdr:cNvPr>
        <xdr:cNvSpPr txBox="1"/>
      </xdr:nvSpPr>
      <xdr:spPr>
        <a:xfrm>
          <a:off x="6510120" y="8456543"/>
          <a:ext cx="521821" cy="27332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1"/>
            <a:t>Port</a:t>
          </a:r>
        </a:p>
      </xdr:txBody>
    </xdr:sp>
    <xdr:clientData/>
  </xdr:twoCellAnchor>
  <xdr:twoCellAnchor>
    <xdr:from>
      <xdr:col>6</xdr:col>
      <xdr:colOff>306440</xdr:colOff>
      <xdr:row>34</xdr:row>
      <xdr:rowOff>223624</xdr:rowOff>
    </xdr:from>
    <xdr:to>
      <xdr:col>7</xdr:col>
      <xdr:colOff>231912</xdr:colOff>
      <xdr:row>36</xdr:row>
      <xdr:rowOff>33124</xdr:rowOff>
    </xdr:to>
    <xdr:sp macro="" textlink="">
      <xdr:nvSpPr>
        <xdr:cNvPr id="87" name="TextBox 86">
          <a:extLst>
            <a:ext uri="{FF2B5EF4-FFF2-40B4-BE49-F238E27FC236}">
              <a16:creationId xmlns:a16="http://schemas.microsoft.com/office/drawing/2014/main" id="{00000000-0008-0000-0100-000057000000}"/>
            </a:ext>
          </a:extLst>
        </xdr:cNvPr>
        <xdr:cNvSpPr txBox="1"/>
      </xdr:nvSpPr>
      <xdr:spPr>
        <a:xfrm>
          <a:off x="6476983" y="7371515"/>
          <a:ext cx="977364" cy="27332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1"/>
            <a:t>Starboard</a:t>
          </a:r>
        </a:p>
      </xdr:txBody>
    </xdr:sp>
    <xdr:clientData/>
  </xdr:twoCellAnchor>
  <xdr:twoCellAnchor>
    <xdr:from>
      <xdr:col>6</xdr:col>
      <xdr:colOff>231914</xdr:colOff>
      <xdr:row>34</xdr:row>
      <xdr:rowOff>41418</xdr:rowOff>
    </xdr:from>
    <xdr:to>
      <xdr:col>6</xdr:col>
      <xdr:colOff>695740</xdr:colOff>
      <xdr:row>35</xdr:row>
      <xdr:rowOff>82831</xdr:rowOff>
    </xdr:to>
    <xdr:sp macro="" textlink="">
      <xdr:nvSpPr>
        <xdr:cNvPr id="93" name="TextBox 92">
          <a:extLst>
            <a:ext uri="{FF2B5EF4-FFF2-40B4-BE49-F238E27FC236}">
              <a16:creationId xmlns:a16="http://schemas.microsoft.com/office/drawing/2014/main" id="{00000000-0008-0000-0100-00005D000000}"/>
            </a:ext>
          </a:extLst>
        </xdr:cNvPr>
        <xdr:cNvSpPr txBox="1"/>
      </xdr:nvSpPr>
      <xdr:spPr>
        <a:xfrm>
          <a:off x="6402457" y="7189309"/>
          <a:ext cx="463826" cy="27332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Top</a:t>
          </a:r>
        </a:p>
      </xdr:txBody>
    </xdr:sp>
    <xdr:clientData/>
  </xdr:twoCellAnchor>
  <xdr:twoCellAnchor>
    <xdr:from>
      <xdr:col>6</xdr:col>
      <xdr:colOff>215339</xdr:colOff>
      <xdr:row>36</xdr:row>
      <xdr:rowOff>41414</xdr:rowOff>
    </xdr:from>
    <xdr:to>
      <xdr:col>6</xdr:col>
      <xdr:colOff>828253</xdr:colOff>
      <xdr:row>37</xdr:row>
      <xdr:rowOff>82827</xdr:rowOff>
    </xdr:to>
    <xdr:sp macro="" textlink="">
      <xdr:nvSpPr>
        <xdr:cNvPr id="94" name="TextBox 93">
          <a:extLst>
            <a:ext uri="{FF2B5EF4-FFF2-40B4-BE49-F238E27FC236}">
              <a16:creationId xmlns:a16="http://schemas.microsoft.com/office/drawing/2014/main" id="{00000000-0008-0000-0100-00005E000000}"/>
            </a:ext>
          </a:extLst>
        </xdr:cNvPr>
        <xdr:cNvSpPr txBox="1"/>
      </xdr:nvSpPr>
      <xdr:spPr>
        <a:xfrm>
          <a:off x="6385882" y="7653131"/>
          <a:ext cx="612914" cy="27332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a:t>Bottom</a:t>
          </a:r>
        </a:p>
      </xdr:txBody>
    </xdr:sp>
    <xdr:clientData/>
  </xdr:twoCellAnchor>
  <xdr:twoCellAnchor>
    <xdr:from>
      <xdr:col>6</xdr:col>
      <xdr:colOff>231914</xdr:colOff>
      <xdr:row>38</xdr:row>
      <xdr:rowOff>190505</xdr:rowOff>
    </xdr:from>
    <xdr:to>
      <xdr:col>6</xdr:col>
      <xdr:colOff>695740</xdr:colOff>
      <xdr:row>40</xdr:row>
      <xdr:rowOff>4</xdr:rowOff>
    </xdr:to>
    <xdr:sp macro="" textlink="">
      <xdr:nvSpPr>
        <xdr:cNvPr id="91" name="TextBox 90">
          <a:extLst>
            <a:ext uri="{FF2B5EF4-FFF2-40B4-BE49-F238E27FC236}">
              <a16:creationId xmlns:a16="http://schemas.microsoft.com/office/drawing/2014/main" id="{00000000-0008-0000-0100-00005B000000}"/>
            </a:ext>
          </a:extLst>
        </xdr:cNvPr>
        <xdr:cNvSpPr txBox="1"/>
      </xdr:nvSpPr>
      <xdr:spPr>
        <a:xfrm>
          <a:off x="6402457" y="8266048"/>
          <a:ext cx="463826" cy="27332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Top</a:t>
          </a:r>
        </a:p>
      </xdr:txBody>
    </xdr:sp>
    <xdr:clientData/>
  </xdr:twoCellAnchor>
  <xdr:twoCellAnchor>
    <xdr:from>
      <xdr:col>1</xdr:col>
      <xdr:colOff>66244</xdr:colOff>
      <xdr:row>34</xdr:row>
      <xdr:rowOff>223624</xdr:rowOff>
    </xdr:from>
    <xdr:to>
      <xdr:col>1</xdr:col>
      <xdr:colOff>1043608</xdr:colOff>
      <xdr:row>36</xdr:row>
      <xdr:rowOff>33124</xdr:rowOff>
    </xdr:to>
    <xdr:sp macro="" textlink="">
      <xdr:nvSpPr>
        <xdr:cNvPr id="85" name="TextBox 84">
          <a:extLst>
            <a:ext uri="{FF2B5EF4-FFF2-40B4-BE49-F238E27FC236}">
              <a16:creationId xmlns:a16="http://schemas.microsoft.com/office/drawing/2014/main" id="{00000000-0008-0000-0100-000055000000}"/>
            </a:ext>
          </a:extLst>
        </xdr:cNvPr>
        <xdr:cNvSpPr txBox="1"/>
      </xdr:nvSpPr>
      <xdr:spPr>
        <a:xfrm>
          <a:off x="132505" y="7371515"/>
          <a:ext cx="977364" cy="27332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1"/>
            <a:t>Starboard</a:t>
          </a:r>
        </a:p>
      </xdr:txBody>
    </xdr:sp>
    <xdr:clientData/>
  </xdr:twoCellAnchor>
  <xdr:twoCellAnchor>
    <xdr:from>
      <xdr:col>1</xdr:col>
      <xdr:colOff>372708</xdr:colOff>
      <xdr:row>39</xdr:row>
      <xdr:rowOff>132515</xdr:rowOff>
    </xdr:from>
    <xdr:to>
      <xdr:col>1</xdr:col>
      <xdr:colOff>894529</xdr:colOff>
      <xdr:row>40</xdr:row>
      <xdr:rowOff>173928</xdr:rowOff>
    </xdr:to>
    <xdr:sp macro="" textlink="">
      <xdr:nvSpPr>
        <xdr:cNvPr id="86" name="TextBox 85">
          <a:extLst>
            <a:ext uri="{FF2B5EF4-FFF2-40B4-BE49-F238E27FC236}">
              <a16:creationId xmlns:a16="http://schemas.microsoft.com/office/drawing/2014/main" id="{00000000-0008-0000-0100-000056000000}"/>
            </a:ext>
          </a:extLst>
        </xdr:cNvPr>
        <xdr:cNvSpPr txBox="1"/>
      </xdr:nvSpPr>
      <xdr:spPr>
        <a:xfrm>
          <a:off x="438969" y="8439972"/>
          <a:ext cx="521821" cy="27332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1"/>
            <a:t>Port</a:t>
          </a:r>
        </a:p>
      </xdr:txBody>
    </xdr:sp>
    <xdr:clientData/>
  </xdr:twoCellAnchor>
  <xdr:twoCellAnchor>
    <xdr:from>
      <xdr:col>1</xdr:col>
      <xdr:colOff>612917</xdr:colOff>
      <xdr:row>38</xdr:row>
      <xdr:rowOff>182222</xdr:rowOff>
    </xdr:from>
    <xdr:to>
      <xdr:col>1</xdr:col>
      <xdr:colOff>1076743</xdr:colOff>
      <xdr:row>39</xdr:row>
      <xdr:rowOff>223634</xdr:rowOff>
    </xdr:to>
    <xdr:sp macro="" textlink="">
      <xdr:nvSpPr>
        <xdr:cNvPr id="79" name="TextBox 78">
          <a:extLst>
            <a:ext uri="{FF2B5EF4-FFF2-40B4-BE49-F238E27FC236}">
              <a16:creationId xmlns:a16="http://schemas.microsoft.com/office/drawing/2014/main" id="{00000000-0008-0000-0100-00004F000000}"/>
            </a:ext>
          </a:extLst>
        </xdr:cNvPr>
        <xdr:cNvSpPr txBox="1"/>
      </xdr:nvSpPr>
      <xdr:spPr>
        <a:xfrm>
          <a:off x="679178" y="8257765"/>
          <a:ext cx="463826" cy="27332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Top</a:t>
          </a:r>
        </a:p>
      </xdr:txBody>
    </xdr:sp>
    <xdr:clientData/>
  </xdr:twoCellAnchor>
  <xdr:twoCellAnchor>
    <xdr:from>
      <xdr:col>1</xdr:col>
      <xdr:colOff>414124</xdr:colOff>
      <xdr:row>40</xdr:row>
      <xdr:rowOff>149085</xdr:rowOff>
    </xdr:from>
    <xdr:to>
      <xdr:col>1</xdr:col>
      <xdr:colOff>1027038</xdr:colOff>
      <xdr:row>41</xdr:row>
      <xdr:rowOff>190498</xdr:rowOff>
    </xdr:to>
    <xdr:sp macro="" textlink="">
      <xdr:nvSpPr>
        <xdr:cNvPr id="80" name="TextBox 79">
          <a:extLst>
            <a:ext uri="{FF2B5EF4-FFF2-40B4-BE49-F238E27FC236}">
              <a16:creationId xmlns:a16="http://schemas.microsoft.com/office/drawing/2014/main" id="{00000000-0008-0000-0100-000050000000}"/>
            </a:ext>
          </a:extLst>
        </xdr:cNvPr>
        <xdr:cNvSpPr txBox="1"/>
      </xdr:nvSpPr>
      <xdr:spPr>
        <a:xfrm>
          <a:off x="480385" y="8688455"/>
          <a:ext cx="612914" cy="27332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a:t>Bottom</a:t>
          </a:r>
        </a:p>
      </xdr:txBody>
    </xdr:sp>
    <xdr:clientData/>
  </xdr:twoCellAnchor>
  <xdr:twoCellAnchor>
    <xdr:from>
      <xdr:col>1</xdr:col>
      <xdr:colOff>670892</xdr:colOff>
      <xdr:row>33</xdr:row>
      <xdr:rowOff>223631</xdr:rowOff>
    </xdr:from>
    <xdr:to>
      <xdr:col>1</xdr:col>
      <xdr:colOff>1134718</xdr:colOff>
      <xdr:row>35</xdr:row>
      <xdr:rowOff>33131</xdr:rowOff>
    </xdr:to>
    <xdr:sp macro="" textlink="">
      <xdr:nvSpPr>
        <xdr:cNvPr id="6" name="TextBox 5">
          <a:extLst>
            <a:ext uri="{FF2B5EF4-FFF2-40B4-BE49-F238E27FC236}">
              <a16:creationId xmlns:a16="http://schemas.microsoft.com/office/drawing/2014/main" id="{00000000-0008-0000-0100-000006000000}"/>
            </a:ext>
          </a:extLst>
        </xdr:cNvPr>
        <xdr:cNvSpPr txBox="1"/>
      </xdr:nvSpPr>
      <xdr:spPr>
        <a:xfrm>
          <a:off x="737153" y="7139609"/>
          <a:ext cx="463826" cy="27332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Top</a:t>
          </a:r>
        </a:p>
      </xdr:txBody>
    </xdr:sp>
    <xdr:clientData/>
  </xdr:twoCellAnchor>
  <xdr:twoCellAnchor>
    <xdr:from>
      <xdr:col>1</xdr:col>
      <xdr:colOff>455538</xdr:colOff>
      <xdr:row>36</xdr:row>
      <xdr:rowOff>41410</xdr:rowOff>
    </xdr:from>
    <xdr:to>
      <xdr:col>1</xdr:col>
      <xdr:colOff>1068452</xdr:colOff>
      <xdr:row>37</xdr:row>
      <xdr:rowOff>82823</xdr:rowOff>
    </xdr:to>
    <xdr:sp macro="" textlink="">
      <xdr:nvSpPr>
        <xdr:cNvPr id="78" name="TextBox 77">
          <a:extLst>
            <a:ext uri="{FF2B5EF4-FFF2-40B4-BE49-F238E27FC236}">
              <a16:creationId xmlns:a16="http://schemas.microsoft.com/office/drawing/2014/main" id="{00000000-0008-0000-0100-00004E000000}"/>
            </a:ext>
          </a:extLst>
        </xdr:cNvPr>
        <xdr:cNvSpPr txBox="1"/>
      </xdr:nvSpPr>
      <xdr:spPr>
        <a:xfrm>
          <a:off x="521799" y="7653127"/>
          <a:ext cx="612914" cy="27332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a:t>Bottom</a:t>
          </a:r>
        </a:p>
      </xdr:txBody>
    </xdr:sp>
    <xdr:clientData/>
  </xdr:twoCellAnchor>
  <xdr:twoCellAnchor>
    <xdr:from>
      <xdr:col>1</xdr:col>
      <xdr:colOff>257175</xdr:colOff>
      <xdr:row>22</xdr:row>
      <xdr:rowOff>9525</xdr:rowOff>
    </xdr:from>
    <xdr:to>
      <xdr:col>2</xdr:col>
      <xdr:colOff>704850</xdr:colOff>
      <xdr:row>31</xdr:row>
      <xdr:rowOff>123825</xdr:rowOff>
    </xdr:to>
    <xdr:sp macro="" textlink="">
      <xdr:nvSpPr>
        <xdr:cNvPr id="10" name="Oval 9">
          <a:extLst>
            <a:ext uri="{FF2B5EF4-FFF2-40B4-BE49-F238E27FC236}">
              <a16:creationId xmlns:a16="http://schemas.microsoft.com/office/drawing/2014/main" id="{00000000-0008-0000-0100-00000A000000}"/>
            </a:ext>
          </a:extLst>
        </xdr:cNvPr>
        <xdr:cNvSpPr/>
      </xdr:nvSpPr>
      <xdr:spPr>
        <a:xfrm>
          <a:off x="322865" y="5336956"/>
          <a:ext cx="2168744" cy="2183524"/>
        </a:xfrm>
        <a:prstGeom prst="ellipse">
          <a:avLst/>
        </a:prstGeom>
        <a:solidFill>
          <a:schemeClr val="tx1">
            <a:lumMod val="65000"/>
            <a:lumOff val="3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819150</xdr:colOff>
      <xdr:row>22</xdr:row>
      <xdr:rowOff>9525</xdr:rowOff>
    </xdr:from>
    <xdr:to>
      <xdr:col>5</xdr:col>
      <xdr:colOff>238125</xdr:colOff>
      <xdr:row>31</xdr:row>
      <xdr:rowOff>123825</xdr:rowOff>
    </xdr:to>
    <xdr:sp macro="" textlink="">
      <xdr:nvSpPr>
        <xdr:cNvPr id="9" name="Oval 8">
          <a:extLst>
            <a:ext uri="{FF2B5EF4-FFF2-40B4-BE49-F238E27FC236}">
              <a16:creationId xmlns:a16="http://schemas.microsoft.com/office/drawing/2014/main" id="{00000000-0008-0000-0100-000009000000}"/>
            </a:ext>
          </a:extLst>
        </xdr:cNvPr>
        <xdr:cNvSpPr/>
      </xdr:nvSpPr>
      <xdr:spPr>
        <a:xfrm>
          <a:off x="2609850" y="5314950"/>
          <a:ext cx="2171700" cy="2171700"/>
        </a:xfrm>
        <a:prstGeom prst="ellipse">
          <a:avLst/>
        </a:prstGeom>
        <a:solidFill>
          <a:schemeClr val="tx1">
            <a:lumMod val="65000"/>
            <a:lumOff val="3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959069</xdr:colOff>
      <xdr:row>22</xdr:row>
      <xdr:rowOff>124810</xdr:rowOff>
    </xdr:from>
    <xdr:to>
      <xdr:col>1</xdr:col>
      <xdr:colOff>1707931</xdr:colOff>
      <xdr:row>24</xdr:row>
      <xdr:rowOff>210206</xdr:rowOff>
    </xdr:to>
    <xdr:sp macro="" textlink="" fLocksText="0">
      <xdr:nvSpPr>
        <xdr:cNvPr id="5" name="Trapezoid 4">
          <a:extLst>
            <a:ext uri="{FF2B5EF4-FFF2-40B4-BE49-F238E27FC236}">
              <a16:creationId xmlns:a16="http://schemas.microsoft.com/office/drawing/2014/main" id="{00000000-0008-0000-0100-000005000000}"/>
            </a:ext>
          </a:extLst>
        </xdr:cNvPr>
        <xdr:cNvSpPr/>
      </xdr:nvSpPr>
      <xdr:spPr>
        <a:xfrm rot="10800000">
          <a:off x="1024759" y="5452241"/>
          <a:ext cx="748862" cy="545224"/>
        </a:xfrm>
        <a:prstGeom prst="trapezoid">
          <a:avLst>
            <a:gd name="adj" fmla="val 46632"/>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0</a:t>
          </a:r>
        </a:p>
      </xdr:txBody>
    </xdr:sp>
    <xdr:clientData fLocksWithSheet="0"/>
  </xdr:twoCellAnchor>
  <xdr:twoCellAnchor>
    <xdr:from>
      <xdr:col>2</xdr:col>
      <xdr:colOff>62406</xdr:colOff>
      <xdr:row>25</xdr:row>
      <xdr:rowOff>36131</xdr:rowOff>
    </xdr:from>
    <xdr:to>
      <xdr:col>2</xdr:col>
      <xdr:colOff>607630</xdr:colOff>
      <xdr:row>28</xdr:row>
      <xdr:rowOff>95251</xdr:rowOff>
    </xdr:to>
    <xdr:sp macro="" textlink="" fLocksText="0">
      <xdr:nvSpPr>
        <xdr:cNvPr id="19" name="Trapezoid 18">
          <a:extLst>
            <a:ext uri="{FF2B5EF4-FFF2-40B4-BE49-F238E27FC236}">
              <a16:creationId xmlns:a16="http://schemas.microsoft.com/office/drawing/2014/main" id="{00000000-0008-0000-0100-000013000000}"/>
            </a:ext>
          </a:extLst>
        </xdr:cNvPr>
        <xdr:cNvSpPr/>
      </xdr:nvSpPr>
      <xdr:spPr>
        <a:xfrm rot="16200000">
          <a:off x="1747346" y="6155122"/>
          <a:ext cx="748862" cy="545224"/>
        </a:xfrm>
        <a:prstGeom prst="trapezoid">
          <a:avLst>
            <a:gd name="adj" fmla="val 46632"/>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0</a:t>
          </a:r>
        </a:p>
      </xdr:txBody>
    </xdr:sp>
    <xdr:clientData fLocksWithSheet="0"/>
  </xdr:twoCellAnchor>
  <xdr:twoCellAnchor>
    <xdr:from>
      <xdr:col>1</xdr:col>
      <xdr:colOff>377716</xdr:colOff>
      <xdr:row>25</xdr:row>
      <xdr:rowOff>36131</xdr:rowOff>
    </xdr:from>
    <xdr:to>
      <xdr:col>1</xdr:col>
      <xdr:colOff>922940</xdr:colOff>
      <xdr:row>28</xdr:row>
      <xdr:rowOff>95251</xdr:rowOff>
    </xdr:to>
    <xdr:sp macro="" textlink="" fLocksText="0">
      <xdr:nvSpPr>
        <xdr:cNvPr id="20" name="Trapezoid 19">
          <a:extLst>
            <a:ext uri="{FF2B5EF4-FFF2-40B4-BE49-F238E27FC236}">
              <a16:creationId xmlns:a16="http://schemas.microsoft.com/office/drawing/2014/main" id="{00000000-0008-0000-0100-000014000000}"/>
            </a:ext>
          </a:extLst>
        </xdr:cNvPr>
        <xdr:cNvSpPr/>
      </xdr:nvSpPr>
      <xdr:spPr>
        <a:xfrm rot="5400000">
          <a:off x="341587" y="6155122"/>
          <a:ext cx="748862" cy="545224"/>
        </a:xfrm>
        <a:prstGeom prst="trapezoid">
          <a:avLst>
            <a:gd name="adj" fmla="val 46632"/>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0</a:t>
          </a:r>
        </a:p>
      </xdr:txBody>
    </xdr:sp>
    <xdr:clientData fLocksWithSheet="0"/>
  </xdr:twoCellAnchor>
  <xdr:twoCellAnchor>
    <xdr:from>
      <xdr:col>1</xdr:col>
      <xdr:colOff>1477101</xdr:colOff>
      <xdr:row>27</xdr:row>
      <xdr:rowOff>183016</xdr:rowOff>
    </xdr:from>
    <xdr:to>
      <xdr:col>2</xdr:col>
      <xdr:colOff>504894</xdr:colOff>
      <xdr:row>30</xdr:row>
      <xdr:rowOff>38499</xdr:rowOff>
    </xdr:to>
    <xdr:sp macro="" textlink="" fLocksText="0">
      <xdr:nvSpPr>
        <xdr:cNvPr id="23" name="Trapezoid 22">
          <a:extLst>
            <a:ext uri="{FF2B5EF4-FFF2-40B4-BE49-F238E27FC236}">
              <a16:creationId xmlns:a16="http://schemas.microsoft.com/office/drawing/2014/main" id="{00000000-0008-0000-0100-000017000000}"/>
            </a:ext>
          </a:extLst>
        </xdr:cNvPr>
        <xdr:cNvSpPr/>
      </xdr:nvSpPr>
      <xdr:spPr>
        <a:xfrm rot="18900000">
          <a:off x="1542791" y="6660016"/>
          <a:ext cx="748862" cy="545224"/>
        </a:xfrm>
        <a:prstGeom prst="trapezoid">
          <a:avLst>
            <a:gd name="adj" fmla="val 46632"/>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0</a:t>
          </a:r>
        </a:p>
      </xdr:txBody>
    </xdr:sp>
    <xdr:clientData fLocksWithSheet="0"/>
  </xdr:twoCellAnchor>
  <xdr:twoCellAnchor>
    <xdr:from>
      <xdr:col>1</xdr:col>
      <xdr:colOff>483079</xdr:colOff>
      <xdr:row>23</xdr:row>
      <xdr:rowOff>108650</xdr:rowOff>
    </xdr:from>
    <xdr:to>
      <xdr:col>1</xdr:col>
      <xdr:colOff>1231941</xdr:colOff>
      <xdr:row>25</xdr:row>
      <xdr:rowOff>194047</xdr:rowOff>
    </xdr:to>
    <xdr:sp macro="" textlink="" fLocksText="0">
      <xdr:nvSpPr>
        <xdr:cNvPr id="24" name="Trapezoid 23">
          <a:extLst>
            <a:ext uri="{FF2B5EF4-FFF2-40B4-BE49-F238E27FC236}">
              <a16:creationId xmlns:a16="http://schemas.microsoft.com/office/drawing/2014/main" id="{00000000-0008-0000-0100-000018000000}"/>
            </a:ext>
          </a:extLst>
        </xdr:cNvPr>
        <xdr:cNvSpPr/>
      </xdr:nvSpPr>
      <xdr:spPr>
        <a:xfrm rot="8100000">
          <a:off x="548769" y="5665995"/>
          <a:ext cx="748862" cy="545224"/>
        </a:xfrm>
        <a:prstGeom prst="trapezoid">
          <a:avLst>
            <a:gd name="adj" fmla="val 46632"/>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0</a:t>
          </a:r>
        </a:p>
      </xdr:txBody>
    </xdr:sp>
    <xdr:clientData fLocksWithSheet="0"/>
  </xdr:twoCellAnchor>
  <xdr:twoCellAnchor>
    <xdr:from>
      <xdr:col>1</xdr:col>
      <xdr:colOff>1580233</xdr:colOff>
      <xdr:row>23</xdr:row>
      <xdr:rowOff>1577</xdr:rowOff>
    </xdr:from>
    <xdr:to>
      <xdr:col>2</xdr:col>
      <xdr:colOff>404388</xdr:colOff>
      <xdr:row>26</xdr:row>
      <xdr:rowOff>60698</xdr:rowOff>
    </xdr:to>
    <xdr:sp macro="" textlink="" fLocksText="0">
      <xdr:nvSpPr>
        <xdr:cNvPr id="26" name="Trapezoid 25">
          <a:extLst>
            <a:ext uri="{FF2B5EF4-FFF2-40B4-BE49-F238E27FC236}">
              <a16:creationId xmlns:a16="http://schemas.microsoft.com/office/drawing/2014/main" id="{00000000-0008-0000-0100-00001A000000}"/>
            </a:ext>
          </a:extLst>
        </xdr:cNvPr>
        <xdr:cNvSpPr/>
      </xdr:nvSpPr>
      <xdr:spPr>
        <a:xfrm rot="13500000">
          <a:off x="1544104" y="5660741"/>
          <a:ext cx="748862" cy="545224"/>
        </a:xfrm>
        <a:prstGeom prst="trapezoid">
          <a:avLst>
            <a:gd name="adj" fmla="val 46632"/>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0</a:t>
          </a:r>
        </a:p>
      </xdr:txBody>
    </xdr:sp>
    <xdr:clientData fLocksWithSheet="0"/>
  </xdr:twoCellAnchor>
  <xdr:twoCellAnchor>
    <xdr:from>
      <xdr:col>1</xdr:col>
      <xdr:colOff>586211</xdr:colOff>
      <xdr:row>27</xdr:row>
      <xdr:rowOff>75943</xdr:rowOff>
    </xdr:from>
    <xdr:to>
      <xdr:col>1</xdr:col>
      <xdr:colOff>1131435</xdr:colOff>
      <xdr:row>30</xdr:row>
      <xdr:rowOff>135064</xdr:rowOff>
    </xdr:to>
    <xdr:sp macro="" textlink="" fLocksText="0">
      <xdr:nvSpPr>
        <xdr:cNvPr id="27" name="Trapezoid 26">
          <a:extLst>
            <a:ext uri="{FF2B5EF4-FFF2-40B4-BE49-F238E27FC236}">
              <a16:creationId xmlns:a16="http://schemas.microsoft.com/office/drawing/2014/main" id="{00000000-0008-0000-0100-00001B000000}"/>
            </a:ext>
          </a:extLst>
        </xdr:cNvPr>
        <xdr:cNvSpPr/>
      </xdr:nvSpPr>
      <xdr:spPr>
        <a:xfrm rot="2700000">
          <a:off x="550082" y="6654762"/>
          <a:ext cx="748862" cy="545224"/>
        </a:xfrm>
        <a:prstGeom prst="trapezoid">
          <a:avLst>
            <a:gd name="adj" fmla="val 46632"/>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0</a:t>
          </a:r>
        </a:p>
      </xdr:txBody>
    </xdr:sp>
    <xdr:clientData fLocksWithSheet="0"/>
  </xdr:twoCellAnchor>
  <xdr:twoCellAnchor>
    <xdr:from>
      <xdr:col>3</xdr:col>
      <xdr:colOff>538656</xdr:colOff>
      <xdr:row>22</xdr:row>
      <xdr:rowOff>124810</xdr:rowOff>
    </xdr:from>
    <xdr:to>
      <xdr:col>4</xdr:col>
      <xdr:colOff>400707</xdr:colOff>
      <xdr:row>24</xdr:row>
      <xdr:rowOff>210206</xdr:rowOff>
    </xdr:to>
    <xdr:sp macro="" textlink="" fLocksText="0">
      <xdr:nvSpPr>
        <xdr:cNvPr id="44" name="Trapezoid 43">
          <a:extLst>
            <a:ext uri="{FF2B5EF4-FFF2-40B4-BE49-F238E27FC236}">
              <a16:creationId xmlns:a16="http://schemas.microsoft.com/office/drawing/2014/main" id="{00000000-0008-0000-0100-00002C000000}"/>
            </a:ext>
          </a:extLst>
        </xdr:cNvPr>
        <xdr:cNvSpPr/>
      </xdr:nvSpPr>
      <xdr:spPr>
        <a:xfrm rot="10800000">
          <a:off x="3304190" y="5452241"/>
          <a:ext cx="748862" cy="545224"/>
        </a:xfrm>
        <a:prstGeom prst="trapezoid">
          <a:avLst>
            <a:gd name="adj" fmla="val 46632"/>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0</a:t>
          </a:r>
        </a:p>
      </xdr:txBody>
    </xdr:sp>
    <xdr:clientData fLocksWithSheet="0"/>
  </xdr:twoCellAnchor>
  <xdr:twoCellAnchor>
    <xdr:from>
      <xdr:col>3</xdr:col>
      <xdr:colOff>538656</xdr:colOff>
      <xdr:row>28</xdr:row>
      <xdr:rowOff>151086</xdr:rowOff>
    </xdr:from>
    <xdr:to>
      <xdr:col>4</xdr:col>
      <xdr:colOff>400707</xdr:colOff>
      <xdr:row>31</xdr:row>
      <xdr:rowOff>6569</xdr:rowOff>
    </xdr:to>
    <xdr:sp macro="" textlink="" fLocksText="0">
      <xdr:nvSpPr>
        <xdr:cNvPr id="45" name="Trapezoid 44">
          <a:extLst>
            <a:ext uri="{FF2B5EF4-FFF2-40B4-BE49-F238E27FC236}">
              <a16:creationId xmlns:a16="http://schemas.microsoft.com/office/drawing/2014/main" id="{00000000-0008-0000-0100-00002D000000}"/>
            </a:ext>
          </a:extLst>
        </xdr:cNvPr>
        <xdr:cNvSpPr/>
      </xdr:nvSpPr>
      <xdr:spPr>
        <a:xfrm>
          <a:off x="3304190" y="6858000"/>
          <a:ext cx="748862" cy="545224"/>
        </a:xfrm>
        <a:prstGeom prst="trapezoid">
          <a:avLst>
            <a:gd name="adj" fmla="val 46632"/>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2</a:t>
          </a:r>
        </a:p>
      </xdr:txBody>
    </xdr:sp>
    <xdr:clientData fLocksWithSheet="0"/>
  </xdr:twoCellAnchor>
  <xdr:twoCellAnchor>
    <xdr:from>
      <xdr:col>4</xdr:col>
      <xdr:colOff>476251</xdr:colOff>
      <xdr:row>25</xdr:row>
      <xdr:rowOff>36131</xdr:rowOff>
    </xdr:from>
    <xdr:to>
      <xdr:col>5</xdr:col>
      <xdr:colOff>134665</xdr:colOff>
      <xdr:row>28</xdr:row>
      <xdr:rowOff>95251</xdr:rowOff>
    </xdr:to>
    <xdr:sp macro="" textlink="" fLocksText="0">
      <xdr:nvSpPr>
        <xdr:cNvPr id="46" name="Trapezoid 45">
          <a:extLst>
            <a:ext uri="{FF2B5EF4-FFF2-40B4-BE49-F238E27FC236}">
              <a16:creationId xmlns:a16="http://schemas.microsoft.com/office/drawing/2014/main" id="{00000000-0008-0000-0100-00002E000000}"/>
            </a:ext>
          </a:extLst>
        </xdr:cNvPr>
        <xdr:cNvSpPr/>
      </xdr:nvSpPr>
      <xdr:spPr>
        <a:xfrm rot="16200000">
          <a:off x="4026777" y="6155122"/>
          <a:ext cx="748862" cy="545224"/>
        </a:xfrm>
        <a:prstGeom prst="trapezoid">
          <a:avLst>
            <a:gd name="adj" fmla="val 46632"/>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0</a:t>
          </a:r>
        </a:p>
      </xdr:txBody>
    </xdr:sp>
    <xdr:clientData fLocksWithSheet="0"/>
  </xdr:twoCellAnchor>
  <xdr:twoCellAnchor>
    <xdr:from>
      <xdr:col>2</xdr:col>
      <xdr:colOff>936078</xdr:colOff>
      <xdr:row>25</xdr:row>
      <xdr:rowOff>36131</xdr:rowOff>
    </xdr:from>
    <xdr:to>
      <xdr:col>3</xdr:col>
      <xdr:colOff>502527</xdr:colOff>
      <xdr:row>28</xdr:row>
      <xdr:rowOff>95251</xdr:rowOff>
    </xdr:to>
    <xdr:sp macro="" textlink="" fLocksText="0">
      <xdr:nvSpPr>
        <xdr:cNvPr id="47" name="Trapezoid 46">
          <a:extLst>
            <a:ext uri="{FF2B5EF4-FFF2-40B4-BE49-F238E27FC236}">
              <a16:creationId xmlns:a16="http://schemas.microsoft.com/office/drawing/2014/main" id="{00000000-0008-0000-0100-00002F000000}"/>
            </a:ext>
          </a:extLst>
        </xdr:cNvPr>
        <xdr:cNvSpPr/>
      </xdr:nvSpPr>
      <xdr:spPr>
        <a:xfrm rot="5400000">
          <a:off x="2621018" y="6155122"/>
          <a:ext cx="748862" cy="545224"/>
        </a:xfrm>
        <a:prstGeom prst="trapezoid">
          <a:avLst>
            <a:gd name="adj" fmla="val 46632"/>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0</a:t>
          </a:r>
        </a:p>
      </xdr:txBody>
    </xdr:sp>
    <xdr:clientData fLocksWithSheet="0"/>
  </xdr:twoCellAnchor>
  <xdr:twoCellAnchor>
    <xdr:from>
      <xdr:col>4</xdr:col>
      <xdr:colOff>169877</xdr:colOff>
      <xdr:row>27</xdr:row>
      <xdr:rowOff>183016</xdr:rowOff>
    </xdr:from>
    <xdr:to>
      <xdr:col>5</xdr:col>
      <xdr:colOff>31929</xdr:colOff>
      <xdr:row>30</xdr:row>
      <xdr:rowOff>38499</xdr:rowOff>
    </xdr:to>
    <xdr:sp macro="" textlink="" fLocksText="0">
      <xdr:nvSpPr>
        <xdr:cNvPr id="48" name="Trapezoid 47">
          <a:extLst>
            <a:ext uri="{FF2B5EF4-FFF2-40B4-BE49-F238E27FC236}">
              <a16:creationId xmlns:a16="http://schemas.microsoft.com/office/drawing/2014/main" id="{00000000-0008-0000-0100-000030000000}"/>
            </a:ext>
          </a:extLst>
        </xdr:cNvPr>
        <xdr:cNvSpPr/>
      </xdr:nvSpPr>
      <xdr:spPr>
        <a:xfrm rot="18900000">
          <a:off x="3822222" y="6660016"/>
          <a:ext cx="748862" cy="545224"/>
        </a:xfrm>
        <a:prstGeom prst="trapezoid">
          <a:avLst>
            <a:gd name="adj" fmla="val 46632"/>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0</a:t>
          </a:r>
        </a:p>
      </xdr:txBody>
    </xdr:sp>
    <xdr:clientData fLocksWithSheet="0"/>
  </xdr:twoCellAnchor>
  <xdr:twoCellAnchor>
    <xdr:from>
      <xdr:col>3</xdr:col>
      <xdr:colOff>62666</xdr:colOff>
      <xdr:row>23</xdr:row>
      <xdr:rowOff>108650</xdr:rowOff>
    </xdr:from>
    <xdr:to>
      <xdr:col>3</xdr:col>
      <xdr:colOff>811528</xdr:colOff>
      <xdr:row>25</xdr:row>
      <xdr:rowOff>194047</xdr:rowOff>
    </xdr:to>
    <xdr:sp macro="" textlink="" fLocksText="0">
      <xdr:nvSpPr>
        <xdr:cNvPr id="49" name="Trapezoid 48">
          <a:extLst>
            <a:ext uri="{FF2B5EF4-FFF2-40B4-BE49-F238E27FC236}">
              <a16:creationId xmlns:a16="http://schemas.microsoft.com/office/drawing/2014/main" id="{00000000-0008-0000-0100-000031000000}"/>
            </a:ext>
          </a:extLst>
        </xdr:cNvPr>
        <xdr:cNvSpPr/>
      </xdr:nvSpPr>
      <xdr:spPr>
        <a:xfrm rot="8100000">
          <a:off x="2828200" y="5665995"/>
          <a:ext cx="748862" cy="545224"/>
        </a:xfrm>
        <a:prstGeom prst="trapezoid">
          <a:avLst>
            <a:gd name="adj" fmla="val 46632"/>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2</a:t>
          </a:r>
        </a:p>
      </xdr:txBody>
    </xdr:sp>
    <xdr:clientData fLocksWithSheet="0"/>
  </xdr:twoCellAnchor>
  <xdr:twoCellAnchor>
    <xdr:from>
      <xdr:col>4</xdr:col>
      <xdr:colOff>273009</xdr:colOff>
      <xdr:row>23</xdr:row>
      <xdr:rowOff>1577</xdr:rowOff>
    </xdr:from>
    <xdr:to>
      <xdr:col>4</xdr:col>
      <xdr:colOff>818233</xdr:colOff>
      <xdr:row>26</xdr:row>
      <xdr:rowOff>60698</xdr:rowOff>
    </xdr:to>
    <xdr:sp macro="" textlink="" fLocksText="0">
      <xdr:nvSpPr>
        <xdr:cNvPr id="50" name="Trapezoid 49">
          <a:extLst>
            <a:ext uri="{FF2B5EF4-FFF2-40B4-BE49-F238E27FC236}">
              <a16:creationId xmlns:a16="http://schemas.microsoft.com/office/drawing/2014/main" id="{00000000-0008-0000-0100-000032000000}"/>
            </a:ext>
          </a:extLst>
        </xdr:cNvPr>
        <xdr:cNvSpPr/>
      </xdr:nvSpPr>
      <xdr:spPr>
        <a:xfrm rot="13500000">
          <a:off x="3823535" y="5660741"/>
          <a:ext cx="748862" cy="545224"/>
        </a:xfrm>
        <a:prstGeom prst="trapezoid">
          <a:avLst>
            <a:gd name="adj" fmla="val 46632"/>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0</a:t>
          </a:r>
        </a:p>
      </xdr:txBody>
    </xdr:sp>
    <xdr:clientData fLocksWithSheet="0"/>
  </xdr:twoCellAnchor>
  <xdr:twoCellAnchor>
    <xdr:from>
      <xdr:col>3</xdr:col>
      <xdr:colOff>165798</xdr:colOff>
      <xdr:row>27</xdr:row>
      <xdr:rowOff>75943</xdr:rowOff>
    </xdr:from>
    <xdr:to>
      <xdr:col>3</xdr:col>
      <xdr:colOff>711022</xdr:colOff>
      <xdr:row>30</xdr:row>
      <xdr:rowOff>135064</xdr:rowOff>
    </xdr:to>
    <xdr:sp macro="" textlink="" fLocksText="0">
      <xdr:nvSpPr>
        <xdr:cNvPr id="51" name="Trapezoid 50">
          <a:extLst>
            <a:ext uri="{FF2B5EF4-FFF2-40B4-BE49-F238E27FC236}">
              <a16:creationId xmlns:a16="http://schemas.microsoft.com/office/drawing/2014/main" id="{00000000-0008-0000-0100-000033000000}"/>
            </a:ext>
          </a:extLst>
        </xdr:cNvPr>
        <xdr:cNvSpPr/>
      </xdr:nvSpPr>
      <xdr:spPr>
        <a:xfrm rot="2700000">
          <a:off x="2829513" y="6654762"/>
          <a:ext cx="748862" cy="545224"/>
        </a:xfrm>
        <a:prstGeom prst="trapezoid">
          <a:avLst>
            <a:gd name="adj" fmla="val 46632"/>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1</a:t>
          </a:r>
        </a:p>
      </xdr:txBody>
    </xdr:sp>
    <xdr:clientData fLocksWithSheet="0"/>
  </xdr:twoCellAnchor>
  <xdr:twoCellAnchor>
    <xdr:from>
      <xdr:col>5</xdr:col>
      <xdr:colOff>352425</xdr:colOff>
      <xdr:row>22</xdr:row>
      <xdr:rowOff>5912</xdr:rowOff>
    </xdr:from>
    <xdr:to>
      <xdr:col>6</xdr:col>
      <xdr:colOff>895350</xdr:colOff>
      <xdr:row>31</xdr:row>
      <xdr:rowOff>120212</xdr:rowOff>
    </xdr:to>
    <xdr:grpSp>
      <xdr:nvGrpSpPr>
        <xdr:cNvPr id="4" name="Group 3"/>
        <xdr:cNvGrpSpPr/>
      </xdr:nvGrpSpPr>
      <xdr:grpSpPr>
        <a:xfrm>
          <a:off x="5105854" y="4332983"/>
          <a:ext cx="2248353" cy="2155372"/>
          <a:chOff x="5108575" y="4336612"/>
          <a:chExt cx="2251075" cy="2171700"/>
        </a:xfrm>
      </xdr:grpSpPr>
      <xdr:sp macro="" textlink="">
        <xdr:nvSpPr>
          <xdr:cNvPr id="2" name="Oval 1">
            <a:extLst>
              <a:ext uri="{FF2B5EF4-FFF2-40B4-BE49-F238E27FC236}">
                <a16:creationId xmlns:a16="http://schemas.microsoft.com/office/drawing/2014/main" id="{00000000-0008-0000-0100-000002000000}"/>
              </a:ext>
            </a:extLst>
          </xdr:cNvPr>
          <xdr:cNvSpPr/>
        </xdr:nvSpPr>
        <xdr:spPr>
          <a:xfrm>
            <a:off x="5108575" y="4336612"/>
            <a:ext cx="2251075" cy="2171700"/>
          </a:xfrm>
          <a:prstGeom prst="ellipse">
            <a:avLst/>
          </a:prstGeom>
          <a:solidFill>
            <a:schemeClr val="tx1">
              <a:lumMod val="65000"/>
              <a:lumOff val="3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fLocksText="0">
        <xdr:nvSpPr>
          <xdr:cNvPr id="52" name="Trapezoid 51">
            <a:extLst>
              <a:ext uri="{FF2B5EF4-FFF2-40B4-BE49-F238E27FC236}">
                <a16:creationId xmlns:a16="http://schemas.microsoft.com/office/drawing/2014/main" id="{00000000-0008-0000-0100-000034000000}"/>
              </a:ext>
            </a:extLst>
          </xdr:cNvPr>
          <xdr:cNvSpPr/>
        </xdr:nvSpPr>
        <xdr:spPr>
          <a:xfrm rot="10800000">
            <a:off x="5794047" y="4455510"/>
            <a:ext cx="827908" cy="542596"/>
          </a:xfrm>
          <a:prstGeom prst="trapezoid">
            <a:avLst>
              <a:gd name="adj" fmla="val 46632"/>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0</a:t>
            </a:r>
          </a:p>
        </xdr:txBody>
      </xdr:sp>
      <xdr:sp macro="" textlink="" fLocksText="0">
        <xdr:nvSpPr>
          <xdr:cNvPr id="53" name="Trapezoid 52">
            <a:extLst>
              <a:ext uri="{FF2B5EF4-FFF2-40B4-BE49-F238E27FC236}">
                <a16:creationId xmlns:a16="http://schemas.microsoft.com/office/drawing/2014/main" id="{00000000-0008-0000-0100-000035000000}"/>
              </a:ext>
            </a:extLst>
          </xdr:cNvPr>
          <xdr:cNvSpPr/>
        </xdr:nvSpPr>
        <xdr:spPr>
          <a:xfrm>
            <a:off x="5794047" y="5853386"/>
            <a:ext cx="827908" cy="541283"/>
          </a:xfrm>
          <a:prstGeom prst="trapezoid">
            <a:avLst>
              <a:gd name="adj" fmla="val 46632"/>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1</a:t>
            </a:r>
          </a:p>
        </xdr:txBody>
      </xdr:sp>
      <xdr:sp macro="" textlink="" fLocksText="0">
        <xdr:nvSpPr>
          <xdr:cNvPr id="54" name="Trapezoid 53">
            <a:extLst>
              <a:ext uri="{FF2B5EF4-FFF2-40B4-BE49-F238E27FC236}">
                <a16:creationId xmlns:a16="http://schemas.microsoft.com/office/drawing/2014/main" id="{00000000-0008-0000-0100-000036000000}"/>
              </a:ext>
            </a:extLst>
          </xdr:cNvPr>
          <xdr:cNvSpPr/>
        </xdr:nvSpPr>
        <xdr:spPr>
          <a:xfrm rot="16200000">
            <a:off x="6597651" y="5152479"/>
            <a:ext cx="744920" cy="545224"/>
          </a:xfrm>
          <a:prstGeom prst="trapezoid">
            <a:avLst>
              <a:gd name="adj" fmla="val 46632"/>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0</a:t>
            </a:r>
          </a:p>
        </xdr:txBody>
      </xdr:sp>
      <xdr:sp macro="" textlink="" fLocksText="0">
        <xdr:nvSpPr>
          <xdr:cNvPr id="55" name="Trapezoid 54">
            <a:extLst>
              <a:ext uri="{FF2B5EF4-FFF2-40B4-BE49-F238E27FC236}">
                <a16:creationId xmlns:a16="http://schemas.microsoft.com/office/drawing/2014/main" id="{00000000-0008-0000-0100-000037000000}"/>
              </a:ext>
            </a:extLst>
          </xdr:cNvPr>
          <xdr:cNvSpPr/>
        </xdr:nvSpPr>
        <xdr:spPr>
          <a:xfrm rot="5400000">
            <a:off x="5112846" y="5152479"/>
            <a:ext cx="744920" cy="545224"/>
          </a:xfrm>
          <a:prstGeom prst="trapezoid">
            <a:avLst>
              <a:gd name="adj" fmla="val 46632"/>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0</a:t>
            </a:r>
          </a:p>
        </xdr:txBody>
      </xdr:sp>
      <xdr:sp macro="" textlink="" fLocksText="0">
        <xdr:nvSpPr>
          <xdr:cNvPr id="56" name="Trapezoid 55">
            <a:extLst>
              <a:ext uri="{FF2B5EF4-FFF2-40B4-BE49-F238E27FC236}">
                <a16:creationId xmlns:a16="http://schemas.microsoft.com/office/drawing/2014/main" id="{00000000-0008-0000-0100-000038000000}"/>
              </a:ext>
            </a:extLst>
          </xdr:cNvPr>
          <xdr:cNvSpPr/>
        </xdr:nvSpPr>
        <xdr:spPr>
          <a:xfrm rot="18900000">
            <a:off x="6312079" y="5656716"/>
            <a:ext cx="827908" cy="541283"/>
          </a:xfrm>
          <a:prstGeom prst="trapezoid">
            <a:avLst>
              <a:gd name="adj" fmla="val 46632"/>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1</a:t>
            </a:r>
          </a:p>
        </xdr:txBody>
      </xdr:sp>
      <xdr:sp macro="" textlink="" fLocksText="0">
        <xdr:nvSpPr>
          <xdr:cNvPr id="57" name="Trapezoid 56">
            <a:extLst>
              <a:ext uri="{FF2B5EF4-FFF2-40B4-BE49-F238E27FC236}">
                <a16:creationId xmlns:a16="http://schemas.microsoft.com/office/drawing/2014/main" id="{00000000-0008-0000-0100-000039000000}"/>
              </a:ext>
            </a:extLst>
          </xdr:cNvPr>
          <xdr:cNvSpPr/>
        </xdr:nvSpPr>
        <xdr:spPr>
          <a:xfrm rot="8100000">
            <a:off x="5318057" y="4667950"/>
            <a:ext cx="748862" cy="542597"/>
          </a:xfrm>
          <a:prstGeom prst="trapezoid">
            <a:avLst>
              <a:gd name="adj" fmla="val 46632"/>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0</a:t>
            </a:r>
          </a:p>
        </xdr:txBody>
      </xdr:sp>
      <xdr:sp macro="" textlink="" fLocksText="0">
        <xdr:nvSpPr>
          <xdr:cNvPr id="58" name="Trapezoid 57">
            <a:extLst>
              <a:ext uri="{FF2B5EF4-FFF2-40B4-BE49-F238E27FC236}">
                <a16:creationId xmlns:a16="http://schemas.microsoft.com/office/drawing/2014/main" id="{00000000-0008-0000-0100-00003A000000}"/>
              </a:ext>
            </a:extLst>
          </xdr:cNvPr>
          <xdr:cNvSpPr/>
        </xdr:nvSpPr>
        <xdr:spPr>
          <a:xfrm rot="13500000">
            <a:off x="6394408" y="4660726"/>
            <a:ext cx="744921" cy="545224"/>
          </a:xfrm>
          <a:prstGeom prst="trapezoid">
            <a:avLst>
              <a:gd name="adj" fmla="val 46632"/>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0</a:t>
            </a:r>
          </a:p>
        </xdr:txBody>
      </xdr:sp>
      <xdr:sp macro="" textlink="" fLocksText="0">
        <xdr:nvSpPr>
          <xdr:cNvPr id="59" name="Trapezoid 58">
            <a:extLst>
              <a:ext uri="{FF2B5EF4-FFF2-40B4-BE49-F238E27FC236}">
                <a16:creationId xmlns:a16="http://schemas.microsoft.com/office/drawing/2014/main" id="{00000000-0008-0000-0100-00003B000000}"/>
              </a:ext>
            </a:extLst>
          </xdr:cNvPr>
          <xdr:cNvSpPr/>
        </xdr:nvSpPr>
        <xdr:spPr>
          <a:xfrm rot="2700000">
            <a:off x="5321340" y="5649492"/>
            <a:ext cx="744921" cy="545224"/>
          </a:xfrm>
          <a:prstGeom prst="trapezoid">
            <a:avLst>
              <a:gd name="adj" fmla="val 46632"/>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1</a:t>
            </a:r>
          </a:p>
        </xdr:txBody>
      </xdr:sp>
    </xdr:grpSp>
    <xdr:clientData/>
  </xdr:twoCellAnchor>
  <xdr:twoCellAnchor>
    <xdr:from>
      <xdr:col>1</xdr:col>
      <xdr:colOff>911087</xdr:colOff>
      <xdr:row>34</xdr:row>
      <xdr:rowOff>99391</xdr:rowOff>
    </xdr:from>
    <xdr:to>
      <xdr:col>6</xdr:col>
      <xdr:colOff>323023</xdr:colOff>
      <xdr:row>36</xdr:row>
      <xdr:rowOff>223630</xdr:rowOff>
    </xdr:to>
    <xdr:sp macro="" textlink="">
      <xdr:nvSpPr>
        <xdr:cNvPr id="3" name="Rounded Rectangle 2">
          <a:extLst>
            <a:ext uri="{FF2B5EF4-FFF2-40B4-BE49-F238E27FC236}">
              <a16:creationId xmlns:a16="http://schemas.microsoft.com/office/drawing/2014/main" id="{00000000-0008-0000-0100-000003000000}"/>
            </a:ext>
          </a:extLst>
        </xdr:cNvPr>
        <xdr:cNvSpPr/>
      </xdr:nvSpPr>
      <xdr:spPr>
        <a:xfrm>
          <a:off x="977348" y="7247282"/>
          <a:ext cx="5516218" cy="588065"/>
        </a:xfrm>
        <a:prstGeom prst="roundRect">
          <a:avLst>
            <a:gd name="adj" fmla="val 50000"/>
          </a:avLst>
        </a:prstGeom>
        <a:noFill/>
        <a:ln w="444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621196</xdr:colOff>
      <xdr:row>34</xdr:row>
      <xdr:rowOff>207065</xdr:rowOff>
    </xdr:from>
    <xdr:to>
      <xdr:col>4</xdr:col>
      <xdr:colOff>339588</xdr:colOff>
      <xdr:row>35</xdr:row>
      <xdr:rowOff>132521</xdr:rowOff>
    </xdr:to>
    <xdr:sp macro="" textlink="">
      <xdr:nvSpPr>
        <xdr:cNvPr id="36" name="Rounded Rectangle 35">
          <a:extLst>
            <a:ext uri="{FF2B5EF4-FFF2-40B4-BE49-F238E27FC236}">
              <a16:creationId xmlns:a16="http://schemas.microsoft.com/office/drawing/2014/main" id="{00000000-0008-0000-0100-000024000000}"/>
            </a:ext>
          </a:extLst>
        </xdr:cNvPr>
        <xdr:cNvSpPr/>
      </xdr:nvSpPr>
      <xdr:spPr>
        <a:xfrm>
          <a:off x="3387587" y="7354956"/>
          <a:ext cx="604631" cy="157369"/>
        </a:xfrm>
        <a:prstGeom prst="roundRect">
          <a:avLst/>
        </a:prstGeom>
        <a:solidFill>
          <a:schemeClr val="bg1">
            <a:lumMod val="65000"/>
          </a:schemeClr>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893339</xdr:colOff>
      <xdr:row>35</xdr:row>
      <xdr:rowOff>216925</xdr:rowOff>
    </xdr:from>
    <xdr:to>
      <xdr:col>5</xdr:col>
      <xdr:colOff>611731</xdr:colOff>
      <xdr:row>36</xdr:row>
      <xdr:rowOff>142381</xdr:rowOff>
    </xdr:to>
    <xdr:sp macro="" textlink="">
      <xdr:nvSpPr>
        <xdr:cNvPr id="37" name="Rounded Rectangle 36">
          <a:extLst>
            <a:ext uri="{FF2B5EF4-FFF2-40B4-BE49-F238E27FC236}">
              <a16:creationId xmlns:a16="http://schemas.microsoft.com/office/drawing/2014/main" id="{00000000-0008-0000-0100-000025000000}"/>
            </a:ext>
          </a:extLst>
        </xdr:cNvPr>
        <xdr:cNvSpPr/>
      </xdr:nvSpPr>
      <xdr:spPr>
        <a:xfrm>
          <a:off x="4721482" y="7383354"/>
          <a:ext cx="643678" cy="152241"/>
        </a:xfrm>
        <a:prstGeom prst="roundRect">
          <a:avLst/>
        </a:prstGeom>
        <a:solidFill>
          <a:schemeClr val="bg1">
            <a:lumMod val="65000"/>
          </a:schemeClr>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861391</xdr:colOff>
      <xdr:row>34</xdr:row>
      <xdr:rowOff>207065</xdr:rowOff>
    </xdr:from>
    <xdr:to>
      <xdr:col>5</xdr:col>
      <xdr:colOff>579782</xdr:colOff>
      <xdr:row>35</xdr:row>
      <xdr:rowOff>132521</xdr:rowOff>
    </xdr:to>
    <xdr:sp macro="" textlink="">
      <xdr:nvSpPr>
        <xdr:cNvPr id="42" name="Rounded Rectangle 41">
          <a:extLst>
            <a:ext uri="{FF2B5EF4-FFF2-40B4-BE49-F238E27FC236}">
              <a16:creationId xmlns:a16="http://schemas.microsoft.com/office/drawing/2014/main" id="{00000000-0008-0000-0100-00002A000000}"/>
            </a:ext>
          </a:extLst>
        </xdr:cNvPr>
        <xdr:cNvSpPr/>
      </xdr:nvSpPr>
      <xdr:spPr>
        <a:xfrm>
          <a:off x="4514021" y="7354956"/>
          <a:ext cx="604631" cy="157369"/>
        </a:xfrm>
        <a:prstGeom prst="roundRect">
          <a:avLst/>
        </a:prstGeom>
        <a:solidFill>
          <a:schemeClr val="bg1">
            <a:lumMod val="65000"/>
          </a:schemeClr>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643677</xdr:colOff>
      <xdr:row>35</xdr:row>
      <xdr:rowOff>216926</xdr:rowOff>
    </xdr:from>
    <xdr:to>
      <xdr:col>4</xdr:col>
      <xdr:colOff>362068</xdr:colOff>
      <xdr:row>36</xdr:row>
      <xdr:rowOff>142382</xdr:rowOff>
    </xdr:to>
    <xdr:sp macro="" textlink="">
      <xdr:nvSpPr>
        <xdr:cNvPr id="43" name="Rounded Rectangle 42">
          <a:extLst>
            <a:ext uri="{FF2B5EF4-FFF2-40B4-BE49-F238E27FC236}">
              <a16:creationId xmlns:a16="http://schemas.microsoft.com/office/drawing/2014/main" id="{00000000-0008-0000-0100-00002B000000}"/>
            </a:ext>
          </a:extLst>
        </xdr:cNvPr>
        <xdr:cNvSpPr/>
      </xdr:nvSpPr>
      <xdr:spPr>
        <a:xfrm>
          <a:off x="3546534" y="7383355"/>
          <a:ext cx="643677" cy="152241"/>
        </a:xfrm>
        <a:prstGeom prst="roundRect">
          <a:avLst/>
        </a:prstGeom>
        <a:solidFill>
          <a:schemeClr val="bg1">
            <a:lumMod val="65000"/>
          </a:schemeClr>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1010477</xdr:colOff>
      <xdr:row>34</xdr:row>
      <xdr:rowOff>207065</xdr:rowOff>
    </xdr:from>
    <xdr:to>
      <xdr:col>5</xdr:col>
      <xdr:colOff>1615108</xdr:colOff>
      <xdr:row>35</xdr:row>
      <xdr:rowOff>132521</xdr:rowOff>
    </xdr:to>
    <xdr:sp macro="" textlink="">
      <xdr:nvSpPr>
        <xdr:cNvPr id="60" name="Rounded Rectangle 59">
          <a:extLst>
            <a:ext uri="{FF2B5EF4-FFF2-40B4-BE49-F238E27FC236}">
              <a16:creationId xmlns:a16="http://schemas.microsoft.com/office/drawing/2014/main" id="{00000000-0008-0000-0100-00003C000000}"/>
            </a:ext>
          </a:extLst>
        </xdr:cNvPr>
        <xdr:cNvSpPr/>
      </xdr:nvSpPr>
      <xdr:spPr>
        <a:xfrm>
          <a:off x="5549347" y="7354956"/>
          <a:ext cx="604631" cy="157369"/>
        </a:xfrm>
        <a:prstGeom prst="roundRect">
          <a:avLst/>
        </a:prstGeom>
        <a:solidFill>
          <a:schemeClr val="bg1">
            <a:lumMod val="65000"/>
          </a:schemeClr>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513521</xdr:colOff>
      <xdr:row>35</xdr:row>
      <xdr:rowOff>198782</xdr:rowOff>
    </xdr:from>
    <xdr:to>
      <xdr:col>3</xdr:col>
      <xdr:colOff>140804</xdr:colOff>
      <xdr:row>36</xdr:row>
      <xdr:rowOff>124238</xdr:rowOff>
    </xdr:to>
    <xdr:sp macro="" textlink="">
      <xdr:nvSpPr>
        <xdr:cNvPr id="63" name="Rounded Rectangle 62">
          <a:extLst>
            <a:ext uri="{FF2B5EF4-FFF2-40B4-BE49-F238E27FC236}">
              <a16:creationId xmlns:a16="http://schemas.microsoft.com/office/drawing/2014/main" id="{00000000-0008-0000-0100-00003F000000}"/>
            </a:ext>
          </a:extLst>
        </xdr:cNvPr>
        <xdr:cNvSpPr/>
      </xdr:nvSpPr>
      <xdr:spPr>
        <a:xfrm>
          <a:off x="2302564" y="7578586"/>
          <a:ext cx="604631" cy="157369"/>
        </a:xfrm>
        <a:prstGeom prst="roundRect">
          <a:avLst/>
        </a:prstGeom>
        <a:solidFill>
          <a:schemeClr val="bg1">
            <a:lumMod val="65000"/>
          </a:schemeClr>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1217542</xdr:colOff>
      <xdr:row>34</xdr:row>
      <xdr:rowOff>207065</xdr:rowOff>
    </xdr:from>
    <xdr:to>
      <xdr:col>2</xdr:col>
      <xdr:colOff>99391</xdr:colOff>
      <xdr:row>35</xdr:row>
      <xdr:rowOff>132521</xdr:rowOff>
    </xdr:to>
    <xdr:sp macro="" textlink="">
      <xdr:nvSpPr>
        <xdr:cNvPr id="64" name="Rounded Rectangle 63">
          <a:extLst>
            <a:ext uri="{FF2B5EF4-FFF2-40B4-BE49-F238E27FC236}">
              <a16:creationId xmlns:a16="http://schemas.microsoft.com/office/drawing/2014/main" id="{00000000-0008-0000-0100-000040000000}"/>
            </a:ext>
          </a:extLst>
        </xdr:cNvPr>
        <xdr:cNvSpPr/>
      </xdr:nvSpPr>
      <xdr:spPr>
        <a:xfrm>
          <a:off x="1283803" y="7354956"/>
          <a:ext cx="604631" cy="157369"/>
        </a:xfrm>
        <a:prstGeom prst="roundRect">
          <a:avLst/>
        </a:prstGeom>
        <a:solidFill>
          <a:schemeClr val="bg1">
            <a:lumMod val="65000"/>
          </a:schemeClr>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621196</xdr:colOff>
      <xdr:row>39</xdr:row>
      <xdr:rowOff>124245</xdr:rowOff>
    </xdr:from>
    <xdr:to>
      <xdr:col>4</xdr:col>
      <xdr:colOff>339588</xdr:colOff>
      <xdr:row>40</xdr:row>
      <xdr:rowOff>49702</xdr:rowOff>
    </xdr:to>
    <xdr:sp macro="" textlink="">
      <xdr:nvSpPr>
        <xdr:cNvPr id="67" name="Rounded Rectangle 66">
          <a:extLst>
            <a:ext uri="{FF2B5EF4-FFF2-40B4-BE49-F238E27FC236}">
              <a16:creationId xmlns:a16="http://schemas.microsoft.com/office/drawing/2014/main" id="{00000000-0008-0000-0100-000043000000}"/>
            </a:ext>
          </a:extLst>
        </xdr:cNvPr>
        <xdr:cNvSpPr/>
      </xdr:nvSpPr>
      <xdr:spPr>
        <a:xfrm>
          <a:off x="3387587" y="8431702"/>
          <a:ext cx="604631" cy="157370"/>
        </a:xfrm>
        <a:prstGeom prst="roundRect">
          <a:avLst/>
        </a:prstGeom>
        <a:solidFill>
          <a:schemeClr val="bg1">
            <a:lumMod val="65000"/>
          </a:schemeClr>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621196</xdr:colOff>
      <xdr:row>40</xdr:row>
      <xdr:rowOff>115963</xdr:rowOff>
    </xdr:from>
    <xdr:to>
      <xdr:col>4</xdr:col>
      <xdr:colOff>339588</xdr:colOff>
      <xdr:row>41</xdr:row>
      <xdr:rowOff>41419</xdr:rowOff>
    </xdr:to>
    <xdr:sp macro="" textlink="">
      <xdr:nvSpPr>
        <xdr:cNvPr id="68" name="Rounded Rectangle 67">
          <a:extLst>
            <a:ext uri="{FF2B5EF4-FFF2-40B4-BE49-F238E27FC236}">
              <a16:creationId xmlns:a16="http://schemas.microsoft.com/office/drawing/2014/main" id="{00000000-0008-0000-0100-000044000000}"/>
            </a:ext>
          </a:extLst>
        </xdr:cNvPr>
        <xdr:cNvSpPr/>
      </xdr:nvSpPr>
      <xdr:spPr>
        <a:xfrm>
          <a:off x="3387587" y="8655333"/>
          <a:ext cx="604631" cy="157369"/>
        </a:xfrm>
        <a:prstGeom prst="roundRect">
          <a:avLst/>
        </a:prstGeom>
        <a:solidFill>
          <a:schemeClr val="bg1">
            <a:lumMod val="65000"/>
          </a:schemeClr>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861391</xdr:colOff>
      <xdr:row>40</xdr:row>
      <xdr:rowOff>115963</xdr:rowOff>
    </xdr:from>
    <xdr:to>
      <xdr:col>5</xdr:col>
      <xdr:colOff>579782</xdr:colOff>
      <xdr:row>41</xdr:row>
      <xdr:rowOff>41419</xdr:rowOff>
    </xdr:to>
    <xdr:sp macro="" textlink="">
      <xdr:nvSpPr>
        <xdr:cNvPr id="70" name="Rounded Rectangle 69">
          <a:extLst>
            <a:ext uri="{FF2B5EF4-FFF2-40B4-BE49-F238E27FC236}">
              <a16:creationId xmlns:a16="http://schemas.microsoft.com/office/drawing/2014/main" id="{00000000-0008-0000-0100-000046000000}"/>
            </a:ext>
          </a:extLst>
        </xdr:cNvPr>
        <xdr:cNvSpPr/>
      </xdr:nvSpPr>
      <xdr:spPr>
        <a:xfrm>
          <a:off x="4514021" y="8655333"/>
          <a:ext cx="604631" cy="157369"/>
        </a:xfrm>
        <a:prstGeom prst="roundRect">
          <a:avLst/>
        </a:prstGeom>
        <a:solidFill>
          <a:schemeClr val="bg1">
            <a:lumMod val="65000"/>
          </a:schemeClr>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513521</xdr:colOff>
      <xdr:row>40</xdr:row>
      <xdr:rowOff>115963</xdr:rowOff>
    </xdr:from>
    <xdr:to>
      <xdr:col>3</xdr:col>
      <xdr:colOff>140804</xdr:colOff>
      <xdr:row>41</xdr:row>
      <xdr:rowOff>41419</xdr:rowOff>
    </xdr:to>
    <xdr:sp macro="" textlink="">
      <xdr:nvSpPr>
        <xdr:cNvPr id="74" name="Rounded Rectangle 73">
          <a:extLst>
            <a:ext uri="{FF2B5EF4-FFF2-40B4-BE49-F238E27FC236}">
              <a16:creationId xmlns:a16="http://schemas.microsoft.com/office/drawing/2014/main" id="{00000000-0008-0000-0100-00004A000000}"/>
            </a:ext>
          </a:extLst>
        </xdr:cNvPr>
        <xdr:cNvSpPr/>
      </xdr:nvSpPr>
      <xdr:spPr>
        <a:xfrm>
          <a:off x="2302564" y="8655333"/>
          <a:ext cx="604631" cy="157369"/>
        </a:xfrm>
        <a:prstGeom prst="roundRect">
          <a:avLst/>
        </a:prstGeom>
        <a:solidFill>
          <a:schemeClr val="bg1">
            <a:lumMod val="65000"/>
          </a:schemeClr>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1217542</xdr:colOff>
      <xdr:row>39</xdr:row>
      <xdr:rowOff>124245</xdr:rowOff>
    </xdr:from>
    <xdr:to>
      <xdr:col>2</xdr:col>
      <xdr:colOff>99391</xdr:colOff>
      <xdr:row>40</xdr:row>
      <xdr:rowOff>49702</xdr:rowOff>
    </xdr:to>
    <xdr:sp macro="" textlink="">
      <xdr:nvSpPr>
        <xdr:cNvPr id="75" name="Rounded Rectangle 74">
          <a:extLst>
            <a:ext uri="{FF2B5EF4-FFF2-40B4-BE49-F238E27FC236}">
              <a16:creationId xmlns:a16="http://schemas.microsoft.com/office/drawing/2014/main" id="{00000000-0008-0000-0100-00004B000000}"/>
            </a:ext>
          </a:extLst>
        </xdr:cNvPr>
        <xdr:cNvSpPr/>
      </xdr:nvSpPr>
      <xdr:spPr>
        <a:xfrm>
          <a:off x="1283803" y="8431702"/>
          <a:ext cx="604631" cy="157370"/>
        </a:xfrm>
        <a:prstGeom prst="roundRect">
          <a:avLst/>
        </a:prstGeom>
        <a:solidFill>
          <a:schemeClr val="bg1">
            <a:lumMod val="65000"/>
          </a:schemeClr>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911087</xdr:colOff>
      <xdr:row>39</xdr:row>
      <xdr:rowOff>16572</xdr:rowOff>
    </xdr:from>
    <xdr:to>
      <xdr:col>6</xdr:col>
      <xdr:colOff>323023</xdr:colOff>
      <xdr:row>41</xdr:row>
      <xdr:rowOff>140811</xdr:rowOff>
    </xdr:to>
    <xdr:sp macro="" textlink="">
      <xdr:nvSpPr>
        <xdr:cNvPr id="77" name="Rounded Rectangle 76">
          <a:extLst>
            <a:ext uri="{FF2B5EF4-FFF2-40B4-BE49-F238E27FC236}">
              <a16:creationId xmlns:a16="http://schemas.microsoft.com/office/drawing/2014/main" id="{00000000-0008-0000-0100-00004D000000}"/>
            </a:ext>
          </a:extLst>
        </xdr:cNvPr>
        <xdr:cNvSpPr/>
      </xdr:nvSpPr>
      <xdr:spPr>
        <a:xfrm>
          <a:off x="977348" y="8324029"/>
          <a:ext cx="5516218" cy="588065"/>
        </a:xfrm>
        <a:prstGeom prst="roundRect">
          <a:avLst>
            <a:gd name="adj" fmla="val 50000"/>
          </a:avLst>
        </a:prstGeom>
        <a:noFill/>
        <a:ln w="444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844822</xdr:colOff>
      <xdr:row>37</xdr:row>
      <xdr:rowOff>91109</xdr:rowOff>
    </xdr:from>
    <xdr:to>
      <xdr:col>2</xdr:col>
      <xdr:colOff>571512</xdr:colOff>
      <xdr:row>38</xdr:row>
      <xdr:rowOff>132522</xdr:rowOff>
    </xdr:to>
    <xdr:sp macro="" textlink="">
      <xdr:nvSpPr>
        <xdr:cNvPr id="81" name="TextBox 80">
          <a:extLst>
            <a:ext uri="{FF2B5EF4-FFF2-40B4-BE49-F238E27FC236}">
              <a16:creationId xmlns:a16="http://schemas.microsoft.com/office/drawing/2014/main" id="{00000000-0008-0000-0100-000051000000}"/>
            </a:ext>
          </a:extLst>
        </xdr:cNvPr>
        <xdr:cNvSpPr txBox="1"/>
      </xdr:nvSpPr>
      <xdr:spPr>
        <a:xfrm>
          <a:off x="911083" y="8034131"/>
          <a:ext cx="1449472" cy="27332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2400" b="1"/>
            <a:t>Forward</a:t>
          </a:r>
        </a:p>
      </xdr:txBody>
    </xdr:sp>
    <xdr:clientData/>
  </xdr:twoCellAnchor>
  <xdr:twoCellAnchor>
    <xdr:from>
      <xdr:col>5</xdr:col>
      <xdr:colOff>1408046</xdr:colOff>
      <xdr:row>37</xdr:row>
      <xdr:rowOff>91109</xdr:rowOff>
    </xdr:from>
    <xdr:to>
      <xdr:col>6</xdr:col>
      <xdr:colOff>397570</xdr:colOff>
      <xdr:row>38</xdr:row>
      <xdr:rowOff>132522</xdr:rowOff>
    </xdr:to>
    <xdr:sp macro="" textlink="">
      <xdr:nvSpPr>
        <xdr:cNvPr id="82" name="TextBox 81">
          <a:extLst>
            <a:ext uri="{FF2B5EF4-FFF2-40B4-BE49-F238E27FC236}">
              <a16:creationId xmlns:a16="http://schemas.microsoft.com/office/drawing/2014/main" id="{00000000-0008-0000-0100-000052000000}"/>
            </a:ext>
          </a:extLst>
        </xdr:cNvPr>
        <xdr:cNvSpPr txBox="1"/>
      </xdr:nvSpPr>
      <xdr:spPr>
        <a:xfrm>
          <a:off x="5946916" y="8034131"/>
          <a:ext cx="621197" cy="27332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2400" b="1"/>
            <a:t>Aft</a:t>
          </a:r>
        </a:p>
      </xdr:txBody>
    </xdr:sp>
    <xdr:clientData/>
  </xdr:twoCellAnchor>
  <xdr:twoCellAnchor>
    <xdr:from>
      <xdr:col>5</xdr:col>
      <xdr:colOff>1002194</xdr:colOff>
      <xdr:row>39</xdr:row>
      <xdr:rowOff>124245</xdr:rowOff>
    </xdr:from>
    <xdr:to>
      <xdr:col>5</xdr:col>
      <xdr:colOff>1606825</xdr:colOff>
      <xdr:row>40</xdr:row>
      <xdr:rowOff>49702</xdr:rowOff>
    </xdr:to>
    <xdr:sp macro="" textlink="">
      <xdr:nvSpPr>
        <xdr:cNvPr id="89" name="Rounded Rectangle 88">
          <a:extLst>
            <a:ext uri="{FF2B5EF4-FFF2-40B4-BE49-F238E27FC236}">
              <a16:creationId xmlns:a16="http://schemas.microsoft.com/office/drawing/2014/main" id="{00000000-0008-0000-0100-000059000000}"/>
            </a:ext>
          </a:extLst>
        </xdr:cNvPr>
        <xdr:cNvSpPr/>
      </xdr:nvSpPr>
      <xdr:spPr>
        <a:xfrm>
          <a:off x="5541064" y="8431702"/>
          <a:ext cx="604631" cy="157370"/>
        </a:xfrm>
        <a:prstGeom prst="roundRect">
          <a:avLst/>
        </a:prstGeom>
        <a:solidFill>
          <a:schemeClr val="bg1">
            <a:lumMod val="65000"/>
          </a:schemeClr>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1002194</xdr:colOff>
      <xdr:row>40</xdr:row>
      <xdr:rowOff>115963</xdr:rowOff>
    </xdr:from>
    <xdr:to>
      <xdr:col>5</xdr:col>
      <xdr:colOff>1606825</xdr:colOff>
      <xdr:row>41</xdr:row>
      <xdr:rowOff>41419</xdr:rowOff>
    </xdr:to>
    <xdr:sp macro="" textlink="">
      <xdr:nvSpPr>
        <xdr:cNvPr id="90" name="Rounded Rectangle 89">
          <a:extLst>
            <a:ext uri="{FF2B5EF4-FFF2-40B4-BE49-F238E27FC236}">
              <a16:creationId xmlns:a16="http://schemas.microsoft.com/office/drawing/2014/main" id="{00000000-0008-0000-0100-00005A000000}"/>
            </a:ext>
          </a:extLst>
        </xdr:cNvPr>
        <xdr:cNvSpPr/>
      </xdr:nvSpPr>
      <xdr:spPr>
        <a:xfrm>
          <a:off x="5541064" y="8655333"/>
          <a:ext cx="604631" cy="157369"/>
        </a:xfrm>
        <a:prstGeom prst="roundRect">
          <a:avLst/>
        </a:prstGeom>
        <a:solidFill>
          <a:schemeClr val="bg1">
            <a:lumMod val="65000"/>
          </a:schemeClr>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0</xdr:col>
      <xdr:colOff>0</xdr:colOff>
      <xdr:row>0</xdr:row>
      <xdr:rowOff>0</xdr:rowOff>
    </xdr:from>
    <xdr:to>
      <xdr:col>2</xdr:col>
      <xdr:colOff>952500</xdr:colOff>
      <xdr:row>2</xdr:row>
      <xdr:rowOff>134112</xdr:rowOff>
    </xdr:to>
    <xdr:pic>
      <xdr:nvPicPr>
        <xdr:cNvPr id="71" name="Picture 70">
          <a:extLst>
            <a:ext uri="{FF2B5EF4-FFF2-40B4-BE49-F238E27FC236}">
              <a16:creationId xmlns:a16="http://schemas.microsoft.com/office/drawing/2014/main" id="{00000000-0008-0000-0100-000047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2743200" cy="652272"/>
        </a:xfrm>
        <a:prstGeom prst="rect">
          <a:avLst/>
        </a:prstGeom>
      </xdr:spPr>
    </xdr:pic>
    <xdr:clientData/>
  </xdr:twoCellAnchor>
  <xdr:twoCellAnchor>
    <xdr:from>
      <xdr:col>7</xdr:col>
      <xdr:colOff>34925</xdr:colOff>
      <xdr:row>21</xdr:row>
      <xdr:rowOff>24962</xdr:rowOff>
    </xdr:from>
    <xdr:to>
      <xdr:col>11</xdr:col>
      <xdr:colOff>101600</xdr:colOff>
      <xdr:row>31</xdr:row>
      <xdr:rowOff>63062</xdr:rowOff>
    </xdr:to>
    <xdr:grpSp>
      <xdr:nvGrpSpPr>
        <xdr:cNvPr id="72" name="Group 71"/>
        <xdr:cNvGrpSpPr/>
      </xdr:nvGrpSpPr>
      <xdr:grpSpPr>
        <a:xfrm>
          <a:off x="7591425" y="4279462"/>
          <a:ext cx="2261961" cy="2151743"/>
          <a:chOff x="5108575" y="4336612"/>
          <a:chExt cx="2251075" cy="2171700"/>
        </a:xfrm>
      </xdr:grpSpPr>
      <xdr:sp macro="" textlink="">
        <xdr:nvSpPr>
          <xdr:cNvPr id="83" name="Oval 82">
            <a:extLst>
              <a:ext uri="{FF2B5EF4-FFF2-40B4-BE49-F238E27FC236}">
                <a16:creationId xmlns:a16="http://schemas.microsoft.com/office/drawing/2014/main" id="{00000000-0008-0000-0100-000002000000}"/>
              </a:ext>
            </a:extLst>
          </xdr:cNvPr>
          <xdr:cNvSpPr/>
        </xdr:nvSpPr>
        <xdr:spPr>
          <a:xfrm>
            <a:off x="5108575" y="4336612"/>
            <a:ext cx="2251075" cy="2171700"/>
          </a:xfrm>
          <a:prstGeom prst="ellipse">
            <a:avLst/>
          </a:prstGeom>
          <a:solidFill>
            <a:schemeClr val="tx1">
              <a:lumMod val="65000"/>
              <a:lumOff val="3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fLocksText="0">
        <xdr:nvSpPr>
          <xdr:cNvPr id="84" name="Trapezoid 83">
            <a:extLst>
              <a:ext uri="{FF2B5EF4-FFF2-40B4-BE49-F238E27FC236}">
                <a16:creationId xmlns:a16="http://schemas.microsoft.com/office/drawing/2014/main" id="{00000000-0008-0000-0100-000034000000}"/>
              </a:ext>
            </a:extLst>
          </xdr:cNvPr>
          <xdr:cNvSpPr/>
        </xdr:nvSpPr>
        <xdr:spPr>
          <a:xfrm rot="10800000">
            <a:off x="5794047" y="4455510"/>
            <a:ext cx="827908" cy="542596"/>
          </a:xfrm>
          <a:prstGeom prst="trapezoid">
            <a:avLst>
              <a:gd name="adj" fmla="val 46632"/>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0</a:t>
            </a:r>
          </a:p>
        </xdr:txBody>
      </xdr:sp>
      <xdr:sp macro="" textlink="" fLocksText="0">
        <xdr:nvSpPr>
          <xdr:cNvPr id="95" name="Trapezoid 94">
            <a:extLst>
              <a:ext uri="{FF2B5EF4-FFF2-40B4-BE49-F238E27FC236}">
                <a16:creationId xmlns:a16="http://schemas.microsoft.com/office/drawing/2014/main" id="{00000000-0008-0000-0100-000035000000}"/>
              </a:ext>
            </a:extLst>
          </xdr:cNvPr>
          <xdr:cNvSpPr/>
        </xdr:nvSpPr>
        <xdr:spPr>
          <a:xfrm>
            <a:off x="5794047" y="5853386"/>
            <a:ext cx="827908" cy="541283"/>
          </a:xfrm>
          <a:prstGeom prst="trapezoid">
            <a:avLst>
              <a:gd name="adj" fmla="val 46632"/>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1</a:t>
            </a:r>
          </a:p>
        </xdr:txBody>
      </xdr:sp>
      <xdr:sp macro="" textlink="" fLocksText="0">
        <xdr:nvSpPr>
          <xdr:cNvPr id="96" name="Trapezoid 95">
            <a:extLst>
              <a:ext uri="{FF2B5EF4-FFF2-40B4-BE49-F238E27FC236}">
                <a16:creationId xmlns:a16="http://schemas.microsoft.com/office/drawing/2014/main" id="{00000000-0008-0000-0100-000036000000}"/>
              </a:ext>
            </a:extLst>
          </xdr:cNvPr>
          <xdr:cNvSpPr/>
        </xdr:nvSpPr>
        <xdr:spPr>
          <a:xfrm rot="16200000">
            <a:off x="6597651" y="5152479"/>
            <a:ext cx="744920" cy="545224"/>
          </a:xfrm>
          <a:prstGeom prst="trapezoid">
            <a:avLst>
              <a:gd name="adj" fmla="val 46632"/>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0</a:t>
            </a:r>
          </a:p>
        </xdr:txBody>
      </xdr:sp>
      <xdr:sp macro="" textlink="" fLocksText="0">
        <xdr:nvSpPr>
          <xdr:cNvPr id="97" name="Trapezoid 96">
            <a:extLst>
              <a:ext uri="{FF2B5EF4-FFF2-40B4-BE49-F238E27FC236}">
                <a16:creationId xmlns:a16="http://schemas.microsoft.com/office/drawing/2014/main" id="{00000000-0008-0000-0100-000037000000}"/>
              </a:ext>
            </a:extLst>
          </xdr:cNvPr>
          <xdr:cNvSpPr/>
        </xdr:nvSpPr>
        <xdr:spPr>
          <a:xfrm rot="5400000">
            <a:off x="5112846" y="5152479"/>
            <a:ext cx="744920" cy="545224"/>
          </a:xfrm>
          <a:prstGeom prst="trapezoid">
            <a:avLst>
              <a:gd name="adj" fmla="val 46632"/>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0</a:t>
            </a:r>
          </a:p>
        </xdr:txBody>
      </xdr:sp>
      <xdr:sp macro="" textlink="" fLocksText="0">
        <xdr:nvSpPr>
          <xdr:cNvPr id="98" name="Trapezoid 97">
            <a:extLst>
              <a:ext uri="{FF2B5EF4-FFF2-40B4-BE49-F238E27FC236}">
                <a16:creationId xmlns:a16="http://schemas.microsoft.com/office/drawing/2014/main" id="{00000000-0008-0000-0100-000038000000}"/>
              </a:ext>
            </a:extLst>
          </xdr:cNvPr>
          <xdr:cNvSpPr/>
        </xdr:nvSpPr>
        <xdr:spPr>
          <a:xfrm rot="18900000">
            <a:off x="6312079" y="5656716"/>
            <a:ext cx="827908" cy="541283"/>
          </a:xfrm>
          <a:prstGeom prst="trapezoid">
            <a:avLst>
              <a:gd name="adj" fmla="val 46632"/>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2</a:t>
            </a:r>
          </a:p>
        </xdr:txBody>
      </xdr:sp>
      <xdr:sp macro="" textlink="" fLocksText="0">
        <xdr:nvSpPr>
          <xdr:cNvPr id="99" name="Trapezoid 98">
            <a:extLst>
              <a:ext uri="{FF2B5EF4-FFF2-40B4-BE49-F238E27FC236}">
                <a16:creationId xmlns:a16="http://schemas.microsoft.com/office/drawing/2014/main" id="{00000000-0008-0000-0100-000039000000}"/>
              </a:ext>
            </a:extLst>
          </xdr:cNvPr>
          <xdr:cNvSpPr/>
        </xdr:nvSpPr>
        <xdr:spPr>
          <a:xfrm rot="8100000">
            <a:off x="5318057" y="4667950"/>
            <a:ext cx="748862" cy="542597"/>
          </a:xfrm>
          <a:prstGeom prst="trapezoid">
            <a:avLst>
              <a:gd name="adj" fmla="val 46632"/>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0</a:t>
            </a:r>
          </a:p>
        </xdr:txBody>
      </xdr:sp>
      <xdr:sp macro="" textlink="" fLocksText="0">
        <xdr:nvSpPr>
          <xdr:cNvPr id="100" name="Trapezoid 99">
            <a:extLst>
              <a:ext uri="{FF2B5EF4-FFF2-40B4-BE49-F238E27FC236}">
                <a16:creationId xmlns:a16="http://schemas.microsoft.com/office/drawing/2014/main" id="{00000000-0008-0000-0100-00003A000000}"/>
              </a:ext>
            </a:extLst>
          </xdr:cNvPr>
          <xdr:cNvSpPr/>
        </xdr:nvSpPr>
        <xdr:spPr>
          <a:xfrm rot="13500000">
            <a:off x="6394408" y="4660726"/>
            <a:ext cx="744921" cy="545224"/>
          </a:xfrm>
          <a:prstGeom prst="trapezoid">
            <a:avLst>
              <a:gd name="adj" fmla="val 46632"/>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0</a:t>
            </a:r>
          </a:p>
        </xdr:txBody>
      </xdr:sp>
      <xdr:sp macro="" textlink="" fLocksText="0">
        <xdr:nvSpPr>
          <xdr:cNvPr id="101" name="Trapezoid 100">
            <a:extLst>
              <a:ext uri="{FF2B5EF4-FFF2-40B4-BE49-F238E27FC236}">
                <a16:creationId xmlns:a16="http://schemas.microsoft.com/office/drawing/2014/main" id="{00000000-0008-0000-0100-00003B000000}"/>
              </a:ext>
            </a:extLst>
          </xdr:cNvPr>
          <xdr:cNvSpPr/>
        </xdr:nvSpPr>
        <xdr:spPr>
          <a:xfrm rot="2700000">
            <a:off x="5321340" y="5649492"/>
            <a:ext cx="744921" cy="545224"/>
          </a:xfrm>
          <a:prstGeom prst="trapezoid">
            <a:avLst>
              <a:gd name="adj" fmla="val 46632"/>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1</a:t>
            </a:r>
          </a:p>
        </xdr:txBody>
      </xdr:sp>
    </xdr:grpSp>
    <xdr:clientData/>
  </xdr:twoCellAnchor>
  <xdr:twoCellAnchor>
    <xdr:from>
      <xdr:col>1</xdr:col>
      <xdr:colOff>944077</xdr:colOff>
      <xdr:row>28</xdr:row>
      <xdr:rowOff>173943</xdr:rowOff>
    </xdr:from>
    <xdr:to>
      <xdr:col>1</xdr:col>
      <xdr:colOff>1777085</xdr:colOff>
      <xdr:row>31</xdr:row>
      <xdr:rowOff>29426</xdr:rowOff>
    </xdr:to>
    <xdr:sp macro="" textlink="" fLocksText="0">
      <xdr:nvSpPr>
        <xdr:cNvPr id="102" name="Trapezoid 101">
          <a:extLst>
            <a:ext uri="{FF2B5EF4-FFF2-40B4-BE49-F238E27FC236}">
              <a16:creationId xmlns:a16="http://schemas.microsoft.com/office/drawing/2014/main" id="{00000000-0008-0000-0100-000017000000}"/>
            </a:ext>
          </a:extLst>
        </xdr:cNvPr>
        <xdr:cNvSpPr/>
      </xdr:nvSpPr>
      <xdr:spPr>
        <a:xfrm>
          <a:off x="1016648" y="5861729"/>
          <a:ext cx="833008" cy="535840"/>
        </a:xfrm>
        <a:prstGeom prst="trapezoid">
          <a:avLst>
            <a:gd name="adj" fmla="val 46632"/>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0</a:t>
          </a:r>
        </a:p>
      </xdr:txBody>
    </xdr:sp>
    <xdr:clientData fLocksWithSheet="0"/>
  </xdr:twoCellAnchor>
  <xdr:twoCellAnchor>
    <xdr:from>
      <xdr:col>2</xdr:col>
      <xdr:colOff>497349</xdr:colOff>
      <xdr:row>34</xdr:row>
      <xdr:rowOff>224813</xdr:rowOff>
    </xdr:from>
    <xdr:to>
      <xdr:col>3</xdr:col>
      <xdr:colOff>159342</xdr:colOff>
      <xdr:row>35</xdr:row>
      <xdr:rowOff>150269</xdr:rowOff>
    </xdr:to>
    <xdr:sp macro="" textlink="">
      <xdr:nvSpPr>
        <xdr:cNvPr id="103" name="Rounded Rectangle 102">
          <a:extLst>
            <a:ext uri="{FF2B5EF4-FFF2-40B4-BE49-F238E27FC236}">
              <a16:creationId xmlns:a16="http://schemas.microsoft.com/office/drawing/2014/main" id="{00000000-0008-0000-0100-000040000000}"/>
            </a:ext>
          </a:extLst>
        </xdr:cNvPr>
        <xdr:cNvSpPr/>
      </xdr:nvSpPr>
      <xdr:spPr>
        <a:xfrm>
          <a:off x="2375135" y="7164456"/>
          <a:ext cx="687064" cy="152242"/>
        </a:xfrm>
        <a:prstGeom prst="roundRect">
          <a:avLst/>
        </a:prstGeom>
        <a:solidFill>
          <a:schemeClr val="bg1">
            <a:lumMod val="65000"/>
          </a:schemeClr>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967092</xdr:colOff>
      <xdr:row>35</xdr:row>
      <xdr:rowOff>194443</xdr:rowOff>
    </xdr:from>
    <xdr:to>
      <xdr:col>5</xdr:col>
      <xdr:colOff>1610769</xdr:colOff>
      <xdr:row>36</xdr:row>
      <xdr:rowOff>119899</xdr:rowOff>
    </xdr:to>
    <xdr:sp macro="" textlink="">
      <xdr:nvSpPr>
        <xdr:cNvPr id="106" name="Rounded Rectangle 105">
          <a:extLst>
            <a:ext uri="{FF2B5EF4-FFF2-40B4-BE49-F238E27FC236}">
              <a16:creationId xmlns:a16="http://schemas.microsoft.com/office/drawing/2014/main" id="{00000000-0008-0000-0100-00002B000000}"/>
            </a:ext>
          </a:extLst>
        </xdr:cNvPr>
        <xdr:cNvSpPr/>
      </xdr:nvSpPr>
      <xdr:spPr>
        <a:xfrm>
          <a:off x="5720521" y="7360872"/>
          <a:ext cx="643677" cy="152241"/>
        </a:xfrm>
        <a:prstGeom prst="roundRect">
          <a:avLst/>
        </a:prstGeom>
        <a:solidFill>
          <a:schemeClr val="bg1">
            <a:lumMod val="65000"/>
          </a:schemeClr>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1250279</xdr:colOff>
      <xdr:row>36</xdr:row>
      <xdr:rowOff>3944</xdr:rowOff>
    </xdr:from>
    <xdr:to>
      <xdr:col>2</xdr:col>
      <xdr:colOff>97418</xdr:colOff>
      <xdr:row>36</xdr:row>
      <xdr:rowOff>156185</xdr:rowOff>
    </xdr:to>
    <xdr:sp macro="" textlink="">
      <xdr:nvSpPr>
        <xdr:cNvPr id="107" name="Rounded Rectangle 106">
          <a:extLst>
            <a:ext uri="{FF2B5EF4-FFF2-40B4-BE49-F238E27FC236}">
              <a16:creationId xmlns:a16="http://schemas.microsoft.com/office/drawing/2014/main" id="{00000000-0008-0000-0100-00003F000000}"/>
            </a:ext>
          </a:extLst>
        </xdr:cNvPr>
        <xdr:cNvSpPr/>
      </xdr:nvSpPr>
      <xdr:spPr>
        <a:xfrm>
          <a:off x="1322850" y="7397158"/>
          <a:ext cx="652354" cy="152241"/>
        </a:xfrm>
        <a:prstGeom prst="roundRect">
          <a:avLst/>
        </a:prstGeom>
        <a:solidFill>
          <a:schemeClr val="bg1">
            <a:lumMod val="65000"/>
          </a:schemeClr>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515492</xdr:colOff>
      <xdr:row>39</xdr:row>
      <xdr:rowOff>119119</xdr:rowOff>
    </xdr:from>
    <xdr:to>
      <xdr:col>3</xdr:col>
      <xdr:colOff>142775</xdr:colOff>
      <xdr:row>40</xdr:row>
      <xdr:rowOff>44575</xdr:rowOff>
    </xdr:to>
    <xdr:sp macro="" textlink="">
      <xdr:nvSpPr>
        <xdr:cNvPr id="108" name="Rounded Rectangle 107">
          <a:extLst>
            <a:ext uri="{FF2B5EF4-FFF2-40B4-BE49-F238E27FC236}">
              <a16:creationId xmlns:a16="http://schemas.microsoft.com/office/drawing/2014/main" id="{00000000-0008-0000-0100-00004A000000}"/>
            </a:ext>
          </a:extLst>
        </xdr:cNvPr>
        <xdr:cNvSpPr/>
      </xdr:nvSpPr>
      <xdr:spPr>
        <a:xfrm>
          <a:off x="2393278" y="8192690"/>
          <a:ext cx="652354" cy="152242"/>
        </a:xfrm>
        <a:prstGeom prst="roundRect">
          <a:avLst/>
        </a:prstGeom>
        <a:solidFill>
          <a:schemeClr val="bg1">
            <a:lumMod val="65000"/>
          </a:schemeClr>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870857</xdr:colOff>
      <xdr:row>39</xdr:row>
      <xdr:rowOff>117930</xdr:rowOff>
    </xdr:from>
    <xdr:to>
      <xdr:col>5</xdr:col>
      <xdr:colOff>597925</xdr:colOff>
      <xdr:row>40</xdr:row>
      <xdr:rowOff>43386</xdr:rowOff>
    </xdr:to>
    <xdr:sp macro="" textlink="">
      <xdr:nvSpPr>
        <xdr:cNvPr id="109" name="Rounded Rectangle 108">
          <a:extLst>
            <a:ext uri="{FF2B5EF4-FFF2-40B4-BE49-F238E27FC236}">
              <a16:creationId xmlns:a16="http://schemas.microsoft.com/office/drawing/2014/main" id="{00000000-0008-0000-0100-00004A000000}"/>
            </a:ext>
          </a:extLst>
        </xdr:cNvPr>
        <xdr:cNvSpPr/>
      </xdr:nvSpPr>
      <xdr:spPr>
        <a:xfrm>
          <a:off x="4699000" y="8191501"/>
          <a:ext cx="652354" cy="152242"/>
        </a:xfrm>
        <a:prstGeom prst="roundRect">
          <a:avLst/>
        </a:prstGeom>
        <a:solidFill>
          <a:schemeClr val="bg1">
            <a:lumMod val="65000"/>
          </a:schemeClr>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1211232</xdr:colOff>
      <xdr:row>40</xdr:row>
      <xdr:rowOff>131345</xdr:rowOff>
    </xdr:from>
    <xdr:to>
      <xdr:col>2</xdr:col>
      <xdr:colOff>93081</xdr:colOff>
      <xdr:row>41</xdr:row>
      <xdr:rowOff>56802</xdr:rowOff>
    </xdr:to>
    <xdr:sp macro="" textlink="">
      <xdr:nvSpPr>
        <xdr:cNvPr id="110" name="Rounded Rectangle 109">
          <a:extLst>
            <a:ext uri="{FF2B5EF4-FFF2-40B4-BE49-F238E27FC236}">
              <a16:creationId xmlns:a16="http://schemas.microsoft.com/office/drawing/2014/main" id="{00000000-0008-0000-0100-00004B000000}"/>
            </a:ext>
          </a:extLst>
        </xdr:cNvPr>
        <xdr:cNvSpPr/>
      </xdr:nvSpPr>
      <xdr:spPr>
        <a:xfrm>
          <a:off x="1283803" y="8431702"/>
          <a:ext cx="687064" cy="152243"/>
        </a:xfrm>
        <a:prstGeom prst="roundRect">
          <a:avLst/>
        </a:prstGeom>
        <a:solidFill>
          <a:schemeClr val="bg1">
            <a:lumMod val="65000"/>
          </a:schemeClr>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15875</xdr:colOff>
      <xdr:row>0</xdr:row>
      <xdr:rowOff>0</xdr:rowOff>
    </xdr:from>
    <xdr:to>
      <xdr:col>2</xdr:col>
      <xdr:colOff>189624</xdr:colOff>
      <xdr:row>4</xdr:row>
      <xdr:rowOff>25079</xdr:rowOff>
    </xdr:to>
    <xdr:pic>
      <xdr:nvPicPr>
        <xdr:cNvPr id="9" name="Picture 8">
          <a:extLst>
            <a:ext uri="{FF2B5EF4-FFF2-40B4-BE49-F238E27FC236}">
              <a16:creationId xmlns:a16="http://schemas.microsoft.com/office/drawing/2014/main" id="{00000000-0008-0000-0300-000009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17500" y="0"/>
          <a:ext cx="2920124" cy="834704"/>
        </a:xfrm>
        <a:prstGeom prst="rect">
          <a:avLst/>
        </a:prstGeom>
      </xdr:spPr>
    </xdr:pic>
    <xdr:clientData/>
  </xdr:twoCellAnchor>
  <xdr:twoCellAnchor editAs="oneCell">
    <xdr:from>
      <xdr:col>0</xdr:col>
      <xdr:colOff>301624</xdr:colOff>
      <xdr:row>32</xdr:row>
      <xdr:rowOff>0</xdr:rowOff>
    </xdr:from>
    <xdr:to>
      <xdr:col>3</xdr:col>
      <xdr:colOff>98504</xdr:colOff>
      <xdr:row>35</xdr:row>
      <xdr:rowOff>63500</xdr:rowOff>
    </xdr:to>
    <xdr:pic>
      <xdr:nvPicPr>
        <xdr:cNvPr id="10" name="Picture 9">
          <a:extLst>
            <a:ext uri="{FF2B5EF4-FFF2-40B4-BE49-F238E27FC236}">
              <a16:creationId xmlns:a16="http://schemas.microsoft.com/office/drawing/2014/main" id="{00000000-0008-0000-0300-00000A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301624" y="9445625"/>
          <a:ext cx="4353005" cy="1016000"/>
        </a:xfrm>
        <a:prstGeom prst="rect">
          <a:avLst/>
        </a:prstGeom>
      </xdr:spPr>
    </xdr:pic>
    <xdr:clientData/>
  </xdr:twoCellAnchor>
  <xdr:twoCellAnchor editAs="oneCell">
    <xdr:from>
      <xdr:col>3</xdr:col>
      <xdr:colOff>811529</xdr:colOff>
      <xdr:row>31</xdr:row>
      <xdr:rowOff>295275</xdr:rowOff>
    </xdr:from>
    <xdr:to>
      <xdr:col>7</xdr:col>
      <xdr:colOff>131709</xdr:colOff>
      <xdr:row>35</xdr:row>
      <xdr:rowOff>15875</xdr:rowOff>
    </xdr:to>
    <xdr:pic>
      <xdr:nvPicPr>
        <xdr:cNvPr id="11" name="Picture 10">
          <a:extLst>
            <a:ext uri="{FF2B5EF4-FFF2-40B4-BE49-F238E27FC236}">
              <a16:creationId xmlns:a16="http://schemas.microsoft.com/office/drawing/2014/main" id="{00000000-0008-0000-0300-00000B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367654" y="9423400"/>
          <a:ext cx="5352680" cy="990600"/>
        </a:xfrm>
        <a:prstGeom prst="rect">
          <a:avLst/>
        </a:prstGeom>
      </xdr:spPr>
    </xdr:pic>
    <xdr:clientData/>
  </xdr:twoCellAnchor>
  <xdr:twoCellAnchor editAs="oneCell">
    <xdr:from>
      <xdr:col>6</xdr:col>
      <xdr:colOff>1397000</xdr:colOff>
      <xdr:row>41</xdr:row>
      <xdr:rowOff>206375</xdr:rowOff>
    </xdr:from>
    <xdr:to>
      <xdr:col>9</xdr:col>
      <xdr:colOff>1209318</xdr:colOff>
      <xdr:row>44</xdr:row>
      <xdr:rowOff>254952</xdr:rowOff>
    </xdr:to>
    <xdr:pic>
      <xdr:nvPicPr>
        <xdr:cNvPr id="12" name="Picture 11">
          <a:extLst>
            <a:ext uri="{FF2B5EF4-FFF2-40B4-BE49-F238E27FC236}">
              <a16:creationId xmlns:a16="http://schemas.microsoft.com/office/drawing/2014/main" id="{00000000-0008-0000-0300-00000C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0477500" y="12509500"/>
          <a:ext cx="4289068" cy="1001077"/>
        </a:xfrm>
        <a:prstGeom prst="rect">
          <a:avLst/>
        </a:prstGeom>
      </xdr:spPr>
    </xdr:pic>
    <xdr:clientData/>
  </xdr:twoCellAnchor>
  <xdr:twoCellAnchor editAs="oneCell">
    <xdr:from>
      <xdr:col>6</xdr:col>
      <xdr:colOff>1398904</xdr:colOff>
      <xdr:row>46</xdr:row>
      <xdr:rowOff>152400</xdr:rowOff>
    </xdr:from>
    <xdr:to>
      <xdr:col>9</xdr:col>
      <xdr:colOff>1206405</xdr:colOff>
      <xdr:row>48</xdr:row>
      <xdr:rowOff>310270</xdr:rowOff>
    </xdr:to>
    <xdr:pic>
      <xdr:nvPicPr>
        <xdr:cNvPr id="13" name="Picture 12">
          <a:extLst>
            <a:ext uri="{FF2B5EF4-FFF2-40B4-BE49-F238E27FC236}">
              <a16:creationId xmlns:a16="http://schemas.microsoft.com/office/drawing/2014/main" id="{00000000-0008-0000-0300-00000D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0479404" y="14043025"/>
          <a:ext cx="4284251" cy="79287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2</xdr:col>
      <xdr:colOff>1093305</xdr:colOff>
      <xdr:row>9</xdr:row>
      <xdr:rowOff>40685</xdr:rowOff>
    </xdr:from>
    <xdr:to>
      <xdr:col>3</xdr:col>
      <xdr:colOff>450687</xdr:colOff>
      <xdr:row>9</xdr:row>
      <xdr:rowOff>48039</xdr:rowOff>
    </xdr:to>
    <xdr:cxnSp macro="">
      <xdr:nvCxnSpPr>
        <xdr:cNvPr id="2" name="Straight Connector 1">
          <a:extLst>
            <a:ext uri="{FF2B5EF4-FFF2-40B4-BE49-F238E27FC236}">
              <a16:creationId xmlns:a16="http://schemas.microsoft.com/office/drawing/2014/main" id="{00000000-0008-0000-0400-000002000000}"/>
            </a:ext>
          </a:extLst>
        </xdr:cNvPr>
        <xdr:cNvCxnSpPr>
          <a:stCxn id="9" idx="0"/>
        </xdr:cNvCxnSpPr>
      </xdr:nvCxnSpPr>
      <xdr:spPr>
        <a:xfrm flipH="1">
          <a:off x="4369905" y="1816145"/>
          <a:ext cx="805182" cy="7354"/>
        </a:xfrm>
        <a:prstGeom prst="line">
          <a:avLst/>
        </a:prstGeom>
        <a:ln w="28575">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740019</xdr:colOff>
      <xdr:row>7</xdr:row>
      <xdr:rowOff>48359</xdr:rowOff>
    </xdr:from>
    <xdr:to>
      <xdr:col>3</xdr:col>
      <xdr:colOff>914592</xdr:colOff>
      <xdr:row>12</xdr:row>
      <xdr:rowOff>79896</xdr:rowOff>
    </xdr:to>
    <xdr:grpSp>
      <xdr:nvGrpSpPr>
        <xdr:cNvPr id="3" name="Group 2">
          <a:extLst>
            <a:ext uri="{FF2B5EF4-FFF2-40B4-BE49-F238E27FC236}">
              <a16:creationId xmlns:a16="http://schemas.microsoft.com/office/drawing/2014/main" id="{00000000-0008-0000-0400-000003000000}"/>
            </a:ext>
          </a:extLst>
        </xdr:cNvPr>
        <xdr:cNvGrpSpPr/>
      </xdr:nvGrpSpPr>
      <xdr:grpSpPr>
        <a:xfrm>
          <a:off x="740019" y="1515209"/>
          <a:ext cx="4775148" cy="841162"/>
          <a:chOff x="7093414" y="2758110"/>
          <a:chExt cx="5026205" cy="844826"/>
        </a:xfrm>
      </xdr:grpSpPr>
      <xdr:sp macro="" textlink="">
        <xdr:nvSpPr>
          <xdr:cNvPr id="4" name="Oval 3">
            <a:extLst>
              <a:ext uri="{FF2B5EF4-FFF2-40B4-BE49-F238E27FC236}">
                <a16:creationId xmlns:a16="http://schemas.microsoft.com/office/drawing/2014/main" id="{00000000-0008-0000-0400-000004000000}"/>
              </a:ext>
            </a:extLst>
          </xdr:cNvPr>
          <xdr:cNvSpPr/>
        </xdr:nvSpPr>
        <xdr:spPr>
          <a:xfrm>
            <a:off x="9637452" y="3056284"/>
            <a:ext cx="1822175" cy="546652"/>
          </a:xfrm>
          <a:prstGeom prst="ellipse">
            <a:avLst/>
          </a:prstGeom>
          <a:solidFill>
            <a:srgbClr val="FFFF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5" name="Oval 4">
            <a:extLst>
              <a:ext uri="{FF2B5EF4-FFF2-40B4-BE49-F238E27FC236}">
                <a16:creationId xmlns:a16="http://schemas.microsoft.com/office/drawing/2014/main" id="{00000000-0008-0000-0400-000005000000}"/>
              </a:ext>
            </a:extLst>
          </xdr:cNvPr>
          <xdr:cNvSpPr/>
        </xdr:nvSpPr>
        <xdr:spPr>
          <a:xfrm>
            <a:off x="7093414" y="3056283"/>
            <a:ext cx="836544" cy="546652"/>
          </a:xfrm>
          <a:prstGeom prst="ellipse">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6" name="Rectangle 5">
            <a:extLst>
              <a:ext uri="{FF2B5EF4-FFF2-40B4-BE49-F238E27FC236}">
                <a16:creationId xmlns:a16="http://schemas.microsoft.com/office/drawing/2014/main" id="{00000000-0008-0000-0400-000006000000}"/>
              </a:ext>
            </a:extLst>
          </xdr:cNvPr>
          <xdr:cNvSpPr/>
        </xdr:nvSpPr>
        <xdr:spPr>
          <a:xfrm>
            <a:off x="7507546" y="3056283"/>
            <a:ext cx="1109869" cy="546652"/>
          </a:xfrm>
          <a:prstGeom prst="rect">
            <a:avLst/>
          </a:prstGeom>
          <a:solidFill>
            <a:srgbClr val="FFFF00"/>
          </a:solidFill>
          <a:ln w="285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ysClr val="windowText" lastClr="000000"/>
                </a:solidFill>
              </a:rPr>
              <a:t>Forward Hull</a:t>
            </a:r>
          </a:p>
        </xdr:txBody>
      </xdr:sp>
      <xdr:sp macro="" textlink="">
        <xdr:nvSpPr>
          <xdr:cNvPr id="7" name="Rectangle 6">
            <a:extLst>
              <a:ext uri="{FF2B5EF4-FFF2-40B4-BE49-F238E27FC236}">
                <a16:creationId xmlns:a16="http://schemas.microsoft.com/office/drawing/2014/main" id="{00000000-0008-0000-0400-000007000000}"/>
              </a:ext>
            </a:extLst>
          </xdr:cNvPr>
          <xdr:cNvSpPr/>
        </xdr:nvSpPr>
        <xdr:spPr>
          <a:xfrm>
            <a:off x="9460011" y="3056283"/>
            <a:ext cx="1187920" cy="546652"/>
          </a:xfrm>
          <a:prstGeom prst="rect">
            <a:avLst/>
          </a:prstGeom>
          <a:solidFill>
            <a:srgbClr val="FFFF00"/>
          </a:solidFill>
          <a:ln w="285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ysClr val="windowText" lastClr="000000"/>
                </a:solidFill>
              </a:rPr>
              <a:t>Aft Hull</a:t>
            </a:r>
          </a:p>
        </xdr:txBody>
      </xdr:sp>
      <xdr:sp macro="" textlink="">
        <xdr:nvSpPr>
          <xdr:cNvPr id="8" name="Rectangle 7">
            <a:extLst>
              <a:ext uri="{FF2B5EF4-FFF2-40B4-BE49-F238E27FC236}">
                <a16:creationId xmlns:a16="http://schemas.microsoft.com/office/drawing/2014/main" id="{00000000-0008-0000-0400-000008000000}"/>
              </a:ext>
            </a:extLst>
          </xdr:cNvPr>
          <xdr:cNvSpPr/>
        </xdr:nvSpPr>
        <xdr:spPr>
          <a:xfrm>
            <a:off x="8613912" y="3056283"/>
            <a:ext cx="836543" cy="546652"/>
          </a:xfrm>
          <a:prstGeom prst="rect">
            <a:avLst/>
          </a:prstGeom>
          <a:solidFill>
            <a:srgbClr val="FFFF00"/>
          </a:solidFill>
          <a:ln w="285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ysClr val="windowText" lastClr="000000"/>
                </a:solidFill>
              </a:rPr>
              <a:t>Science Bay</a:t>
            </a:r>
          </a:p>
        </xdr:txBody>
      </xdr:sp>
      <xdr:sp macro="" textlink="">
        <xdr:nvSpPr>
          <xdr:cNvPr id="9" name="Freeform 9">
            <a:extLst>
              <a:ext uri="{FF2B5EF4-FFF2-40B4-BE49-F238E27FC236}">
                <a16:creationId xmlns:a16="http://schemas.microsoft.com/office/drawing/2014/main" id="{00000000-0008-0000-0400-000009000000}"/>
              </a:ext>
            </a:extLst>
          </xdr:cNvPr>
          <xdr:cNvSpPr/>
        </xdr:nvSpPr>
        <xdr:spPr>
          <a:xfrm>
            <a:off x="11630944" y="2758110"/>
            <a:ext cx="488675" cy="347869"/>
          </a:xfrm>
          <a:custGeom>
            <a:avLst/>
            <a:gdLst>
              <a:gd name="connsiteX0" fmla="*/ 0 w 488674"/>
              <a:gd name="connsiteY0" fmla="*/ 323022 h 347869"/>
              <a:gd name="connsiteX1" fmla="*/ 165652 w 488674"/>
              <a:gd name="connsiteY1" fmla="*/ 0 h 347869"/>
              <a:gd name="connsiteX2" fmla="*/ 488674 w 488674"/>
              <a:gd name="connsiteY2" fmla="*/ 0 h 347869"/>
              <a:gd name="connsiteX3" fmla="*/ 422413 w 488674"/>
              <a:gd name="connsiteY3" fmla="*/ 347869 h 347869"/>
              <a:gd name="connsiteX4" fmla="*/ 0 w 488674"/>
              <a:gd name="connsiteY4" fmla="*/ 323022 h 347869"/>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488674" h="347869">
                <a:moveTo>
                  <a:pt x="0" y="323022"/>
                </a:moveTo>
                <a:lnTo>
                  <a:pt x="165652" y="0"/>
                </a:lnTo>
                <a:lnTo>
                  <a:pt x="488674" y="0"/>
                </a:lnTo>
                <a:lnTo>
                  <a:pt x="422413" y="347869"/>
                </a:lnTo>
                <a:lnTo>
                  <a:pt x="0" y="323022"/>
                </a:lnTo>
                <a:close/>
              </a:path>
            </a:pathLst>
          </a:cu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editAs="oneCell">
    <xdr:from>
      <xdr:col>0</xdr:col>
      <xdr:colOff>0</xdr:colOff>
      <xdr:row>0</xdr:row>
      <xdr:rowOff>0</xdr:rowOff>
    </xdr:from>
    <xdr:to>
      <xdr:col>1</xdr:col>
      <xdr:colOff>891540</xdr:colOff>
      <xdr:row>2</xdr:row>
      <xdr:rowOff>134112</xdr:rowOff>
    </xdr:to>
    <xdr:pic>
      <xdr:nvPicPr>
        <xdr:cNvPr id="10" name="Picture 9">
          <a:extLst>
            <a:ext uri="{FF2B5EF4-FFF2-40B4-BE49-F238E27FC236}">
              <a16:creationId xmlns:a16="http://schemas.microsoft.com/office/drawing/2014/main" id="{00000000-0008-0000-0400-00000A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2743200" cy="652272"/>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662940</xdr:colOff>
      <xdr:row>2</xdr:row>
      <xdr:rowOff>134112</xdr:rowOff>
    </xdr:to>
    <xdr:pic>
      <xdr:nvPicPr>
        <xdr:cNvPr id="9" name="Picture 8">
          <a:extLst>
            <a:ext uri="{FF2B5EF4-FFF2-40B4-BE49-F238E27FC236}">
              <a16:creationId xmlns:a16="http://schemas.microsoft.com/office/drawing/2014/main" id="{00000000-0008-0000-0500-000009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2743200" cy="652272"/>
        </a:xfrm>
        <a:prstGeom prst="rect">
          <a:avLst/>
        </a:prstGeom>
      </xdr:spPr>
    </xdr:pic>
    <xdr:clientData/>
  </xdr:twoCellAnchor>
  <xdr:twoCellAnchor editAs="oneCell">
    <xdr:from>
      <xdr:col>0</xdr:col>
      <xdr:colOff>0</xdr:colOff>
      <xdr:row>9</xdr:row>
      <xdr:rowOff>17145</xdr:rowOff>
    </xdr:from>
    <xdr:to>
      <xdr:col>3</xdr:col>
      <xdr:colOff>135255</xdr:colOff>
      <xdr:row>12</xdr:row>
      <xdr:rowOff>238125</xdr:rowOff>
    </xdr:to>
    <xdr:pic>
      <xdr:nvPicPr>
        <xdr:cNvPr id="7" name="Picture 6" hidden="1">
          <a:extLst>
            <a:ext uri="{FF2B5EF4-FFF2-40B4-BE49-F238E27FC236}">
              <a16:creationId xmlns:a16="http://schemas.microsoft.com/office/drawing/2014/main" id="{00000000-0008-0000-0500-000007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5759" b="11502"/>
        <a:stretch/>
      </xdr:blipFill>
      <xdr:spPr>
        <a:xfrm>
          <a:off x="0" y="1855470"/>
          <a:ext cx="5821680" cy="1064895"/>
        </a:xfrm>
        <a:prstGeom prst="rect">
          <a:avLst/>
        </a:prstGeom>
      </xdr:spPr>
    </xdr:pic>
    <xdr:clientData/>
  </xdr:twoCellAnchor>
  <xdr:twoCellAnchor editAs="oneCell">
    <xdr:from>
      <xdr:col>0</xdr:col>
      <xdr:colOff>0</xdr:colOff>
      <xdr:row>9</xdr:row>
      <xdr:rowOff>0</xdr:rowOff>
    </xdr:from>
    <xdr:to>
      <xdr:col>3</xdr:col>
      <xdr:colOff>474498</xdr:colOff>
      <xdr:row>12</xdr:row>
      <xdr:rowOff>226695</xdr:rowOff>
    </xdr:to>
    <xdr:pic>
      <xdr:nvPicPr>
        <xdr:cNvPr id="8" name="Picture 7">
          <a:extLst>
            <a:ext uri="{FF2B5EF4-FFF2-40B4-BE49-F238E27FC236}">
              <a16:creationId xmlns:a16="http://schemas.microsoft.com/office/drawing/2014/main" id="{00000000-0008-0000-0500-000008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0" y="1860550"/>
          <a:ext cx="6265698" cy="1071245"/>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666750</xdr:colOff>
      <xdr:row>2</xdr:row>
      <xdr:rowOff>130302</xdr:rowOff>
    </xdr:to>
    <xdr:pic>
      <xdr:nvPicPr>
        <xdr:cNvPr id="2" name="Picture 1">
          <a:extLst>
            <a:ext uri="{FF2B5EF4-FFF2-40B4-BE49-F238E27FC236}">
              <a16:creationId xmlns:a16="http://schemas.microsoft.com/office/drawing/2014/main" id="{00000000-0008-0000-06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2800350" cy="640842"/>
        </a:xfrm>
        <a:prstGeom prst="rect">
          <a:avLst/>
        </a:prstGeom>
      </xdr:spPr>
    </xdr:pic>
    <xdr:clientData/>
  </xdr:twoCellAnchor>
  <xdr:twoCellAnchor editAs="oneCell">
    <xdr:from>
      <xdr:col>0</xdr:col>
      <xdr:colOff>0</xdr:colOff>
      <xdr:row>9</xdr:row>
      <xdr:rowOff>0</xdr:rowOff>
    </xdr:from>
    <xdr:to>
      <xdr:col>3</xdr:col>
      <xdr:colOff>476403</xdr:colOff>
      <xdr:row>11</xdr:row>
      <xdr:rowOff>302895</xdr:rowOff>
    </xdr:to>
    <xdr:pic>
      <xdr:nvPicPr>
        <xdr:cNvPr id="7" name="Picture 6">
          <a:extLst>
            <a:ext uri="{FF2B5EF4-FFF2-40B4-BE49-F238E27FC236}">
              <a16:creationId xmlns:a16="http://schemas.microsoft.com/office/drawing/2014/main" id="{00000000-0008-0000-0600-000007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0" y="1860550"/>
          <a:ext cx="6267603" cy="975995"/>
        </a:xfrm>
        <a:prstGeom prst="rect">
          <a:avLst/>
        </a:prstGeom>
      </xdr:spPr>
    </xdr:pic>
    <xdr:clientData/>
  </xdr:twoCellAnchor>
  <xdr:twoCellAnchor editAs="oneCell">
    <xdr:from>
      <xdr:col>0</xdr:col>
      <xdr:colOff>0</xdr:colOff>
      <xdr:row>9</xdr:row>
      <xdr:rowOff>17145</xdr:rowOff>
    </xdr:from>
    <xdr:to>
      <xdr:col>3</xdr:col>
      <xdr:colOff>135255</xdr:colOff>
      <xdr:row>12</xdr:row>
      <xdr:rowOff>55742</xdr:rowOff>
    </xdr:to>
    <xdr:pic>
      <xdr:nvPicPr>
        <xdr:cNvPr id="8" name="Picture 7" hidden="1">
          <a:extLst>
            <a:ext uri="{FF2B5EF4-FFF2-40B4-BE49-F238E27FC236}">
              <a16:creationId xmlns:a16="http://schemas.microsoft.com/office/drawing/2014/main" id="{00000000-0008-0000-0600-000008000000}"/>
            </a:ext>
          </a:extLst>
        </xdr:cNvPr>
        <xdr:cNvPicPr>
          <a:picLocks noChangeAspect="1"/>
        </xdr:cNvPicPr>
      </xdr:nvPicPr>
      <xdr:blipFill rotWithShape="1">
        <a:blip xmlns:r="http://schemas.openxmlformats.org/officeDocument/2006/relationships" r:embed="rId3">
          <a:extLst>
            <a:ext uri="{28A0092B-C50C-407E-A947-70E740481C1C}">
              <a14:useLocalDpi xmlns:a14="http://schemas.microsoft.com/office/drawing/2010/main" val="0"/>
            </a:ext>
          </a:extLst>
        </a:blip>
        <a:srcRect t="2105" b="10109"/>
        <a:stretch/>
      </xdr:blipFill>
      <xdr:spPr>
        <a:xfrm>
          <a:off x="0" y="1855470"/>
          <a:ext cx="5821680" cy="1086347"/>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666750</xdr:colOff>
      <xdr:row>2</xdr:row>
      <xdr:rowOff>130302</xdr:rowOff>
    </xdr:to>
    <xdr:pic>
      <xdr:nvPicPr>
        <xdr:cNvPr id="2" name="Picture 1">
          <a:extLst>
            <a:ext uri="{FF2B5EF4-FFF2-40B4-BE49-F238E27FC236}">
              <a16:creationId xmlns:a16="http://schemas.microsoft.com/office/drawing/2014/main" id="{00000000-0008-0000-07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2800350" cy="625602"/>
        </a:xfrm>
        <a:prstGeom prst="rect">
          <a:avLst/>
        </a:prstGeom>
      </xdr:spPr>
    </xdr:pic>
    <xdr:clientData/>
  </xdr:twoCellAnchor>
  <xdr:twoCellAnchor editAs="oneCell">
    <xdr:from>
      <xdr:col>0</xdr:col>
      <xdr:colOff>0</xdr:colOff>
      <xdr:row>9</xdr:row>
      <xdr:rowOff>17145</xdr:rowOff>
    </xdr:from>
    <xdr:to>
      <xdr:col>3</xdr:col>
      <xdr:colOff>472593</xdr:colOff>
      <xdr:row>11</xdr:row>
      <xdr:rowOff>363855</xdr:rowOff>
    </xdr:to>
    <xdr:pic>
      <xdr:nvPicPr>
        <xdr:cNvPr id="3" name="Picture 2" hidden="1">
          <a:extLst>
            <a:ext uri="{FF2B5EF4-FFF2-40B4-BE49-F238E27FC236}">
              <a16:creationId xmlns:a16="http://schemas.microsoft.com/office/drawing/2014/main" id="{00000000-0008-0000-0700-000003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0" y="1855470"/>
          <a:ext cx="6159018" cy="1019175"/>
        </a:xfrm>
        <a:prstGeom prst="rect">
          <a:avLst/>
        </a:prstGeom>
      </xdr:spPr>
    </xdr:pic>
    <xdr:clientData/>
  </xdr:twoCellAnchor>
  <xdr:twoCellAnchor editAs="oneCell">
    <xdr:from>
      <xdr:col>0</xdr:col>
      <xdr:colOff>0</xdr:colOff>
      <xdr:row>9</xdr:row>
      <xdr:rowOff>0</xdr:rowOff>
    </xdr:from>
    <xdr:to>
      <xdr:col>3</xdr:col>
      <xdr:colOff>135255</xdr:colOff>
      <xdr:row>11</xdr:row>
      <xdr:rowOff>150992</xdr:rowOff>
    </xdr:to>
    <xdr:pic>
      <xdr:nvPicPr>
        <xdr:cNvPr id="4" name="Picture 3">
          <a:extLst>
            <a:ext uri="{FF2B5EF4-FFF2-40B4-BE49-F238E27FC236}">
              <a16:creationId xmlns:a16="http://schemas.microsoft.com/office/drawing/2014/main" id="{00000000-0008-0000-0700-000004000000}"/>
            </a:ext>
          </a:extLst>
        </xdr:cNvPr>
        <xdr:cNvPicPr>
          <a:picLocks noChangeAspect="1"/>
        </xdr:cNvPicPr>
      </xdr:nvPicPr>
      <xdr:blipFill rotWithShape="1">
        <a:blip xmlns:r="http://schemas.openxmlformats.org/officeDocument/2006/relationships" r:embed="rId3">
          <a:extLst>
            <a:ext uri="{28A0092B-C50C-407E-A947-70E740481C1C}">
              <a14:useLocalDpi xmlns:a14="http://schemas.microsoft.com/office/drawing/2010/main" val="0"/>
            </a:ext>
          </a:extLst>
        </a:blip>
        <a:srcRect t="2105" b="10109"/>
        <a:stretch/>
      </xdr:blipFill>
      <xdr:spPr>
        <a:xfrm>
          <a:off x="0" y="1860550"/>
          <a:ext cx="5926455" cy="824092"/>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B1:L139"/>
  <sheetViews>
    <sheetView tabSelected="1" topLeftCell="D34" zoomScale="85" zoomScaleNormal="85" zoomScaleSheetLayoutView="100" zoomScalePageLayoutView="85" workbookViewId="0">
      <selection activeCell="F39" sqref="F39:F41"/>
    </sheetView>
  </sheetViews>
  <sheetFormatPr defaultColWidth="9.1796875" defaultRowHeight="12.5" x14ac:dyDescent="0.25"/>
  <cols>
    <col min="1" max="1" width="9.1796875" style="25"/>
    <col min="2" max="2" width="6.81640625" style="84" customWidth="1"/>
    <col min="3" max="3" width="39.1796875" style="84" bestFit="1" customWidth="1"/>
    <col min="4" max="4" width="33.7265625" style="84" customWidth="1"/>
    <col min="5" max="5" width="7.54296875" style="84" bestFit="1" customWidth="1"/>
    <col min="6" max="6" width="22.26953125" style="84" bestFit="1" customWidth="1"/>
    <col min="7" max="7" width="5.7265625" style="84" customWidth="1"/>
    <col min="8" max="8" width="13.1796875" style="84" bestFit="1" customWidth="1"/>
    <col min="9" max="9" width="20" style="84" customWidth="1"/>
    <col min="10" max="10" width="37.54296875" style="25" customWidth="1"/>
    <col min="11" max="11" width="39.1796875" style="25" bestFit="1" customWidth="1"/>
    <col min="12" max="12" width="21.453125" style="25" customWidth="1"/>
    <col min="13" max="16384" width="9.1796875" style="25"/>
  </cols>
  <sheetData>
    <row r="1" spans="2:9" customFormat="1" ht="15.65" customHeight="1" x14ac:dyDescent="0.25">
      <c r="B1" s="85"/>
      <c r="C1" s="85"/>
      <c r="D1" s="85"/>
      <c r="E1" s="102"/>
      <c r="F1" s="143"/>
      <c r="G1" s="145"/>
      <c r="H1" s="146" t="s">
        <v>145</v>
      </c>
      <c r="I1" s="147" t="s">
        <v>144</v>
      </c>
    </row>
    <row r="2" spans="2:9" customFormat="1" ht="15.75" customHeight="1" x14ac:dyDescent="0.25">
      <c r="B2" s="85"/>
      <c r="C2" s="85"/>
      <c r="D2" s="85"/>
      <c r="E2" s="143"/>
      <c r="F2" s="143"/>
      <c r="G2" s="142"/>
      <c r="H2" s="148" t="s">
        <v>146</v>
      </c>
      <c r="I2" s="149" t="s">
        <v>320</v>
      </c>
    </row>
    <row r="3" spans="2:9" customFormat="1" ht="15.75" customHeight="1" x14ac:dyDescent="0.25">
      <c r="B3" s="85"/>
      <c r="C3" s="85"/>
      <c r="D3" s="85"/>
      <c r="E3" s="143"/>
      <c r="F3" s="143"/>
      <c r="G3" s="142"/>
      <c r="H3" s="148" t="s">
        <v>1</v>
      </c>
      <c r="I3" s="150">
        <v>44888</v>
      </c>
    </row>
    <row r="4" spans="2:9" customFormat="1" ht="15.75" customHeight="1" thickBot="1" x14ac:dyDescent="0.3">
      <c r="B4" s="85"/>
      <c r="C4" s="85"/>
      <c r="D4" s="85"/>
      <c r="E4" s="144"/>
      <c r="F4" s="144"/>
      <c r="G4" s="142"/>
      <c r="H4" s="151" t="s">
        <v>147</v>
      </c>
      <c r="I4" s="152">
        <v>14841</v>
      </c>
    </row>
    <row r="5" spans="2:9" customFormat="1" ht="9" customHeight="1" thickBot="1" x14ac:dyDescent="0.3">
      <c r="B5" s="153"/>
      <c r="C5" s="153"/>
      <c r="D5" s="153"/>
      <c r="E5" s="153"/>
      <c r="F5" s="153"/>
      <c r="G5" s="153"/>
      <c r="H5" s="153"/>
      <c r="I5" s="153"/>
    </row>
    <row r="6" spans="2:9" customFormat="1" ht="9" customHeight="1" thickTop="1" x14ac:dyDescent="0.25">
      <c r="B6" s="132"/>
      <c r="C6" s="132"/>
      <c r="D6" s="132"/>
      <c r="E6" s="132"/>
      <c r="F6" s="132"/>
      <c r="G6" s="132"/>
      <c r="H6" s="132"/>
      <c r="I6" s="132"/>
    </row>
    <row r="7" spans="2:9" customFormat="1" ht="9" customHeight="1" x14ac:dyDescent="0.25">
      <c r="B7" s="132"/>
      <c r="C7" s="132"/>
      <c r="D7" s="132"/>
      <c r="E7" s="132"/>
      <c r="F7" s="132"/>
      <c r="G7" s="132"/>
      <c r="H7" s="132"/>
      <c r="I7" s="132"/>
    </row>
    <row r="8" spans="2:9" customFormat="1" ht="9" customHeight="1" x14ac:dyDescent="0.25">
      <c r="B8" s="132"/>
      <c r="C8" s="132"/>
      <c r="D8" s="132"/>
      <c r="E8" s="132"/>
      <c r="F8" s="132"/>
      <c r="G8" s="132"/>
      <c r="H8" s="132"/>
      <c r="I8" s="132"/>
    </row>
    <row r="9" spans="2:9" s="83" customFormat="1" ht="22.5" customHeight="1" x14ac:dyDescent="0.25">
      <c r="B9" s="496" t="s">
        <v>108</v>
      </c>
      <c r="C9" s="496"/>
      <c r="D9" s="496"/>
      <c r="E9" s="496"/>
      <c r="F9" s="495" t="s">
        <v>119</v>
      </c>
      <c r="G9" s="495"/>
      <c r="H9" s="495"/>
      <c r="I9" s="495"/>
    </row>
    <row r="10" spans="2:9" ht="9.75" customHeight="1" x14ac:dyDescent="0.25"/>
    <row r="11" spans="2:9" ht="15.75" customHeight="1" x14ac:dyDescent="0.25">
      <c r="B11" s="499" t="s">
        <v>155</v>
      </c>
      <c r="C11" s="499"/>
      <c r="D11" s="499"/>
      <c r="E11" s="499"/>
      <c r="F11" s="499"/>
      <c r="G11" s="499"/>
      <c r="H11" s="499"/>
      <c r="I11" s="499"/>
    </row>
    <row r="12" spans="2:9" ht="15.75" customHeight="1" x14ac:dyDescent="0.25">
      <c r="B12" s="499" t="s">
        <v>156</v>
      </c>
      <c r="C12" s="500"/>
      <c r="D12" s="500"/>
      <c r="E12" s="500"/>
      <c r="F12" s="500"/>
      <c r="G12" s="500"/>
      <c r="H12" s="500"/>
      <c r="I12" s="500"/>
    </row>
    <row r="13" spans="2:9" ht="15.75" customHeight="1" x14ac:dyDescent="0.25">
      <c r="B13" s="499" t="s">
        <v>157</v>
      </c>
      <c r="C13" s="500"/>
      <c r="D13" s="500"/>
      <c r="E13" s="500"/>
      <c r="F13" s="500"/>
      <c r="G13" s="500"/>
      <c r="H13" s="500"/>
      <c r="I13" s="500"/>
    </row>
    <row r="14" spans="2:9" ht="8.25" customHeight="1" x14ac:dyDescent="0.25"/>
    <row r="15" spans="2:9" ht="21" customHeight="1" x14ac:dyDescent="0.25">
      <c r="B15" s="497" t="s">
        <v>0</v>
      </c>
      <c r="C15" s="498"/>
      <c r="D15" s="105" t="s">
        <v>330</v>
      </c>
      <c r="F15" s="104"/>
      <c r="G15" s="104"/>
      <c r="H15" s="104"/>
    </row>
    <row r="16" spans="2:9" ht="21" customHeight="1" x14ac:dyDescent="0.25">
      <c r="B16" s="497" t="s">
        <v>107</v>
      </c>
      <c r="C16" s="498"/>
      <c r="D16" s="105" t="s">
        <v>338</v>
      </c>
      <c r="F16" s="104"/>
      <c r="G16" s="104"/>
      <c r="H16" s="104"/>
    </row>
    <row r="17" spans="2:9" ht="21" customHeight="1" x14ac:dyDescent="0.25">
      <c r="B17" s="497" t="s">
        <v>1</v>
      </c>
      <c r="C17" s="498"/>
      <c r="D17" s="211">
        <v>46293</v>
      </c>
      <c r="F17" s="103"/>
      <c r="I17" s="102"/>
    </row>
    <row r="18" spans="2:9" ht="21" customHeight="1" thickBot="1" x14ac:dyDescent="0.3">
      <c r="B18" s="497" t="s">
        <v>96</v>
      </c>
      <c r="C18" s="498"/>
      <c r="D18" s="204" t="s">
        <v>300</v>
      </c>
      <c r="I18" s="102"/>
    </row>
    <row r="19" spans="2:9" ht="21" customHeight="1" x14ac:dyDescent="0.25">
      <c r="B19" s="493" t="s">
        <v>303</v>
      </c>
      <c r="C19" s="202" t="s">
        <v>252</v>
      </c>
      <c r="D19" s="440" t="s">
        <v>331</v>
      </c>
      <c r="E19" s="378"/>
      <c r="F19" s="464" t="str">
        <f>IF(AND(OR(D18=Constants!B11,D18=Constants!B12),D19&lt;&gt;"G1 Main Hull"),"  Must Use G1 Main Hull",IF(D19="Other: FWD","Please input custom hull length in cell D17",""))</f>
        <v/>
      </c>
      <c r="G19" s="464"/>
      <c r="H19" s="464"/>
      <c r="I19" s="464"/>
    </row>
    <row r="20" spans="2:9" ht="21" customHeight="1" x14ac:dyDescent="0.25">
      <c r="B20" s="494"/>
      <c r="C20" s="203" t="s">
        <v>253</v>
      </c>
      <c r="D20" s="440" t="s">
        <v>339</v>
      </c>
      <c r="E20" s="378"/>
      <c r="F20" s="463" t="str">
        <f>IF(AND(OR(D18=Constants!B11,D18=Constants!B12),D20&lt;&gt;"G1 Main Hull"),"  Must Use G1 Main Hull",IF(D20="Other: AFT","Please input custom hull length in cell D18",""))</f>
        <v/>
      </c>
      <c r="G20" s="463"/>
      <c r="H20" s="463"/>
      <c r="I20" s="464"/>
    </row>
    <row r="21" spans="2:9" ht="21" customHeight="1" x14ac:dyDescent="0.25">
      <c r="B21" s="494"/>
      <c r="C21" s="203" t="s">
        <v>254</v>
      </c>
      <c r="D21" s="441" t="s">
        <v>298</v>
      </c>
      <c r="E21" s="378"/>
      <c r="F21" s="463" t="str">
        <f>IF(AND(OR(D18=Constants!B11,D18=Constants!B12),D21&lt;&gt;"G1 Science Bay"),"  Must Use G1 Science Bay",IF(D21="Other: Primary","Please input custom hull length in cell D19 including stiffener rings",""))</f>
        <v/>
      </c>
      <c r="G21" s="463"/>
      <c r="H21" s="463"/>
      <c r="I21" s="464"/>
    </row>
    <row r="22" spans="2:9" ht="21" customHeight="1" x14ac:dyDescent="0.25">
      <c r="B22" s="494"/>
      <c r="C22" s="203" t="s">
        <v>255</v>
      </c>
      <c r="D22" s="440" t="s">
        <v>332</v>
      </c>
      <c r="E22" s="364" t="str">
        <f>IF(AND(OR(D18=Constants!B11,D18=Constants!B12),IF(D22&lt;&gt;"None",IF(D22&lt;&gt;"G1 Science Bay",1,0))),"  Must Use G1 Science Bay","")</f>
        <v/>
      </c>
      <c r="F22" s="463" t="str">
        <f>IF(AND(OR(D18=Constants!B11,D18=Constants!B12),D22&lt;&gt;"G1 Science Bay"),"  Must Use G1 Science Bay",IF(D22="Other: Primary","Please input custom hull length in cell D20 including only FWD stiffener ring",""))</f>
        <v/>
      </c>
      <c r="G22" s="463"/>
      <c r="H22" s="463"/>
      <c r="I22" s="464"/>
    </row>
    <row r="23" spans="2:9" ht="23.25" customHeight="1" x14ac:dyDescent="0.25">
      <c r="B23" s="494"/>
      <c r="C23" s="203" t="s">
        <v>153</v>
      </c>
      <c r="D23" s="441"/>
      <c r="F23" s="103" t="str">
        <f>IF(Constants!S11=TRUE,"  Only check if working with G2 glider","")</f>
        <v/>
      </c>
      <c r="I23" s="102"/>
    </row>
    <row r="24" spans="2:9" ht="23.25" customHeight="1" x14ac:dyDescent="0.25">
      <c r="B24" s="494"/>
      <c r="C24" s="203" t="s">
        <v>179</v>
      </c>
      <c r="D24" s="441"/>
      <c r="F24" s="103"/>
    </row>
    <row r="25" spans="2:9" ht="23.25" customHeight="1" x14ac:dyDescent="0.25">
      <c r="B25" s="494"/>
      <c r="C25" s="203" t="s">
        <v>180</v>
      </c>
      <c r="D25" s="441"/>
      <c r="F25" s="103"/>
    </row>
    <row r="26" spans="2:9" ht="23.25" customHeight="1" x14ac:dyDescent="0.25">
      <c r="B26" s="494"/>
      <c r="C26" s="203" t="s">
        <v>297</v>
      </c>
      <c r="D26" s="441"/>
      <c r="F26" s="103"/>
    </row>
    <row r="27" spans="2:9" ht="23.25" customHeight="1" x14ac:dyDescent="0.25">
      <c r="B27" s="494"/>
      <c r="C27" s="203" t="s">
        <v>194</v>
      </c>
      <c r="D27" s="440" t="s">
        <v>251</v>
      </c>
      <c r="E27" s="323"/>
      <c r="F27" s="103"/>
    </row>
    <row r="28" spans="2:9" ht="23.25" customHeight="1" x14ac:dyDescent="0.25">
      <c r="B28" s="494"/>
      <c r="C28" s="203" t="s">
        <v>249</v>
      </c>
      <c r="D28" s="442" t="s">
        <v>302</v>
      </c>
      <c r="E28" s="501" t="str">
        <f>IF(AND(Constants!$M$11=TRUE,Constants!$M$13=TRUE),"Cannot have dummy weight and thruster installed simultaneously","")</f>
        <v/>
      </c>
      <c r="F28" s="502"/>
    </row>
    <row r="29" spans="2:9" ht="23.25" customHeight="1" x14ac:dyDescent="0.25">
      <c r="B29" s="494"/>
      <c r="C29" s="203" t="s">
        <v>248</v>
      </c>
      <c r="D29" s="442"/>
      <c r="E29" s="323"/>
      <c r="F29" s="103"/>
    </row>
    <row r="30" spans="2:9" ht="23.25" customHeight="1" thickBot="1" x14ac:dyDescent="0.3">
      <c r="B30" s="486" t="s">
        <v>304</v>
      </c>
      <c r="C30" s="487"/>
      <c r="D30" s="355">
        <v>11.08</v>
      </c>
      <c r="F30" s="103"/>
    </row>
    <row r="31" spans="2:9" ht="25.5" customHeight="1" x14ac:dyDescent="0.25">
      <c r="B31" s="484" t="s">
        <v>104</v>
      </c>
      <c r="C31" s="485"/>
      <c r="D31" s="212">
        <f>IF(D18=Constants!B11,Constants!C11,IF(D18=Constants!B12,Constants!C12,IF(D18=Constants!B13,Constants!C13,IF(D18=Constants!B14,Constants!C14,IF(D18=Constants!B18,Constants!C18,IF(D18=Constants!B15,Constants!C15,IF(D18=Constants!B16,Constants!C16,IF(D18=Constants!B17,Constants!C17,"Please Select Glider Type"))))))))</f>
        <v>10.398</v>
      </c>
      <c r="E31" s="84" t="s">
        <v>2</v>
      </c>
      <c r="F31" s="103"/>
    </row>
    <row r="32" spans="2:9" ht="17.5" customHeight="1" x14ac:dyDescent="0.25">
      <c r="B32" s="497" t="s">
        <v>101</v>
      </c>
      <c r="C32" s="498"/>
      <c r="D32" s="344">
        <f>D31+D30+Constants!C96+IF(D19="Other",E19,0)+IF(D20="Other",E20,0)+IF(D21="Other",E21,0)</f>
        <v>87.502360174173447</v>
      </c>
      <c r="E32" s="84" t="s">
        <v>2</v>
      </c>
    </row>
    <row r="33" spans="2:12" ht="15.75" customHeight="1" x14ac:dyDescent="0.25"/>
    <row r="34" spans="2:12" ht="15.75" customHeight="1" x14ac:dyDescent="0.25">
      <c r="B34" s="311"/>
      <c r="C34" s="314"/>
      <c r="D34" s="315"/>
      <c r="G34" s="25"/>
      <c r="H34" s="25"/>
      <c r="I34" s="25"/>
    </row>
    <row r="35" spans="2:12" ht="15.75" customHeight="1" x14ac:dyDescent="0.25">
      <c r="B35" s="510" t="s">
        <v>319</v>
      </c>
      <c r="C35" s="511"/>
      <c r="D35" s="469" t="s">
        <v>245</v>
      </c>
    </row>
    <row r="36" spans="2:12" ht="13" x14ac:dyDescent="0.25">
      <c r="B36" s="512"/>
      <c r="C36" s="513"/>
      <c r="D36" s="470">
        <f>IF(D35="Standard",D32,IF(D35 = "Advanced",D136,"Please Choose Volume Calculation Method Above"))</f>
        <v>87.502360174173447</v>
      </c>
      <c r="E36" s="102"/>
      <c r="H36" s="107"/>
      <c r="I36" s="25"/>
    </row>
    <row r="37" spans="2:12" ht="18.75" customHeight="1" x14ac:dyDescent="0.25">
      <c r="B37" s="317"/>
      <c r="C37" s="317"/>
      <c r="D37" s="315"/>
      <c r="E37" s="102"/>
      <c r="H37" s="107"/>
      <c r="I37" s="25"/>
    </row>
    <row r="38" spans="2:12" ht="15.75" customHeight="1" x14ac:dyDescent="0.25">
      <c r="D38" s="106" t="s">
        <v>4</v>
      </c>
      <c r="E38" s="101"/>
      <c r="F38" s="107" t="s">
        <v>3</v>
      </c>
      <c r="G38" s="107"/>
      <c r="H38" s="106" t="s">
        <v>223</v>
      </c>
    </row>
    <row r="39" spans="2:12" ht="15.75" customHeight="1" x14ac:dyDescent="0.25">
      <c r="B39" s="497" t="s">
        <v>64</v>
      </c>
      <c r="C39" s="498"/>
      <c r="D39" s="108">
        <v>21.178999999999998</v>
      </c>
      <c r="E39" s="109" t="s">
        <v>7</v>
      </c>
      <c r="F39" s="108">
        <v>25.18</v>
      </c>
      <c r="G39" s="110" t="s">
        <v>7</v>
      </c>
      <c r="H39" s="111">
        <f>D36*53.5*10^-6*(F39-D39)*F45</f>
        <v>19.146122024786504</v>
      </c>
      <c r="I39" s="84" t="s">
        <v>8</v>
      </c>
    </row>
    <row r="40" spans="2:12" s="30" customFormat="1" ht="15.75" customHeight="1" x14ac:dyDescent="0.25">
      <c r="B40" s="515" t="s">
        <v>65</v>
      </c>
      <c r="C40" s="516"/>
      <c r="D40" s="113"/>
      <c r="E40" s="102" t="s">
        <v>6</v>
      </c>
      <c r="F40" s="113"/>
      <c r="G40" s="102" t="s">
        <v>6</v>
      </c>
      <c r="H40" s="111"/>
      <c r="I40" s="112"/>
    </row>
    <row r="41" spans="2:12" s="30" customFormat="1" ht="15.75" customHeight="1" x14ac:dyDescent="0.25">
      <c r="B41" s="515" t="s">
        <v>66</v>
      </c>
      <c r="C41" s="516"/>
      <c r="D41" s="220">
        <v>6.37188</v>
      </c>
      <c r="E41" s="114" t="s">
        <v>16</v>
      </c>
      <c r="F41" s="113">
        <v>5.1310000000000002</v>
      </c>
      <c r="G41" s="112" t="s">
        <v>16</v>
      </c>
      <c r="H41" s="115"/>
      <c r="I41" s="112"/>
    </row>
    <row r="42" spans="2:12" s="30" customFormat="1" ht="15.75" customHeight="1" x14ac:dyDescent="0.25">
      <c r="B42" s="515" t="s">
        <v>67</v>
      </c>
      <c r="C42" s="516"/>
      <c r="D42" s="113"/>
      <c r="E42" s="114" t="s">
        <v>5</v>
      </c>
      <c r="F42" s="113"/>
      <c r="G42" s="112" t="s">
        <v>5</v>
      </c>
      <c r="H42" s="115"/>
      <c r="I42" s="112"/>
    </row>
    <row r="43" spans="2:12" s="30" customFormat="1" ht="15.75" customHeight="1" x14ac:dyDescent="0.25">
      <c r="B43" s="213"/>
      <c r="C43" s="214"/>
      <c r="D43" s="116"/>
      <c r="E43" s="117"/>
      <c r="F43" s="116"/>
      <c r="G43" s="118"/>
      <c r="H43" s="115"/>
      <c r="I43" s="112"/>
    </row>
    <row r="44" spans="2:12" ht="15.75" customHeight="1" x14ac:dyDescent="0.25">
      <c r="B44" s="497" t="s">
        <v>33</v>
      </c>
      <c r="C44" s="498"/>
      <c r="D44" s="119">
        <f>IF(D41,((0.008+((D39-15)/(1+0.0162*(D39-15)))*0.0005)+(SQRT(D41/(4.2914*(0.6766097+D39*(0.0200564+D39*(0.0001104259+D39*(-0.00000069698+D39*0.0000000010031)))))))*((-0.1692+((D39-15)/(1+0.0162*(D39-15)))*-0.0056)+(SQRT(D41/(4.2914*(0.6766097+D39*(0.0200564+D39*(0.0001104259+D39*(-0.00000069698+D39*0.0000000010031)))))))*((25.3851+((D39-15)/(1+0.0162*(D39-15)))*-0.0066)+(SQRT(D41/(4.2914*(0.6766097+D39*(0.0200564+D39*(0.0001104259+D39*(-0.00000069698+D39*0.0000000010031)))))))*((14.0941+((D39-15)/(1+0.0162*(D39-15)))*-0.0375)+(SQRT(D41/(4.2914*(0.6766097+D39*(0.0200564+D39*(0.0001104259+D39*(-0.00000069698+D39*0.0000000010031)))))))*((-7.0261+((D39-15)/(1+0.0162*(D39-15)))*0.0636)+(SQRT(D41/(4.2914*(0.6766097+D39*(0.0200564+D39*(0.0001104259+D39*(-0.00000069698+D39*0.0000000010031)))))))*((2.7081+((D39-15)/(1+0.0162*(D39-15)))*-0.0144))))))),D42)</f>
        <v>46.99486266298382</v>
      </c>
      <c r="E44" s="102" t="s">
        <v>5</v>
      </c>
      <c r="F44" s="119">
        <f>IF(F41,((0.008+((F39-15)/(1+0.0162*(F39-15)))*0.0005)+(SQRT(F41/(4.2914*(0.6766097+F39*(0.0200564+F39*(0.0001104259+F39*(-0.00000069698+F39*0.0000000010031)))))))*((-0.1692+((F39-15)/(1+0.0162*(F39-15)))*-0.0056)+(SQRT(F41/(4.2914*(0.6766097+F39*(0.0200564+F39*(0.0001104259+F39*(-0.00000069698+F39*0.0000000010031)))))))*((25.3851+((F39-15)/(1+0.0162*(F39-15)))*-0.0066)+(SQRT(F41/(4.2914*(0.6766097+F39*(0.0200564+F39*(0.0001104259+F39*(-0.00000069698+F39*0.0000000010031)))))))*((14.0941+((F39-15)/(1+0.0162*(F39-15)))*-0.0375)+(SQRT(F41/(4.2914*(0.6766097+F39*(0.0200564+F39*(0.0001104259+F39*(-0.00000069698+F39*0.0000000010031)))))))*((-7.0261+((F39-15)/(1+0.0162*(F39-15)))*0.0636)+(SQRT(F41/(4.2914*(0.6766097+F39*(0.0200564+F39*(0.0001104259+F39*(-0.00000069698+F39*0.0000000010031)))))))*((2.7081+((F39-15)/(1+0.0162*(F39-15)))*-0.0144))))))),F42)</f>
        <v>33.567938150322533</v>
      </c>
      <c r="G44" s="84" t="s">
        <v>5</v>
      </c>
      <c r="H44" s="111"/>
    </row>
    <row r="45" spans="2:12" ht="15.75" customHeight="1" x14ac:dyDescent="0.25">
      <c r="B45" s="515" t="s">
        <v>63</v>
      </c>
      <c r="C45" s="516"/>
      <c r="D45" s="120">
        <f>IF(D40,D40,(999.842594+D39*(6.793952*10^-2+D39*(-9.09529*10^-3+D39*(1.001685*10^-4+D39*(-1.120083*10^-6+D39*6.536332*10^-9)))))+D44*((0.824493+D39*(-4.0899*10^-3+D39*(7.6438*10^-5+D39*(-8.2467*10^-7+D39*5.3875*10^-9))))+(-5.72466*10^-3+D39*(1.0227*10^-4-D39*1.6546*10^-6))*SQRT(D44)+4.8314*10^-4*D44))</f>
        <v>1033.6076095175492</v>
      </c>
      <c r="E45" s="102" t="s">
        <v>6</v>
      </c>
      <c r="F45" s="120">
        <f>IF(F40,F40,(999.842594+F39*(6.793952*10^-2+F39*(-9.09529*10^-3+F39*(1.001685*10^-4+F39*(-1.120083*10^-6+F39*6.536332*10^-9)))))+F44*((0.824493+F39*(-4.0899*10^-3+F39*(7.6438*10^-5+F39*(-8.2467*10^-7+F39*5.3875*10^-9))))+(-5.72466*10^-3+F39*(1.0227*10^-4-F39*1.6546*10^-6))*SQRT(F44)+4.8314*10^-4*F44))</f>
        <v>1022.2066967819957</v>
      </c>
      <c r="G45" s="84" t="s">
        <v>6</v>
      </c>
      <c r="H45" s="111">
        <f>(F45-D45)*D36</f>
        <v>-997.60677250072877</v>
      </c>
      <c r="I45" s="84" t="s">
        <v>8</v>
      </c>
      <c r="K45" s="27"/>
      <c r="L45" s="27"/>
    </row>
    <row r="46" spans="2:12" ht="15.75" customHeight="1" x14ac:dyDescent="0.25">
      <c r="B46" s="215"/>
      <c r="C46" s="215"/>
      <c r="F46" s="106" t="s">
        <v>224</v>
      </c>
      <c r="G46" s="106"/>
      <c r="H46" s="121">
        <f>SUM(H39:H45)</f>
        <v>-978.46065047594232</v>
      </c>
      <c r="I46" s="84" t="s">
        <v>8</v>
      </c>
      <c r="K46" s="27"/>
      <c r="L46" s="27"/>
    </row>
    <row r="47" spans="2:12" ht="15.75" customHeight="1" x14ac:dyDescent="0.25">
      <c r="B47" s="497" t="s">
        <v>143</v>
      </c>
      <c r="C47" s="497"/>
      <c r="D47" s="207"/>
    </row>
    <row r="48" spans="2:12" ht="29.25" customHeight="1" x14ac:dyDescent="0.25">
      <c r="B48" s="517" t="s">
        <v>186</v>
      </c>
      <c r="C48" s="518"/>
      <c r="D48" s="141" t="str">
        <f>IF(D47="Lead",ABS(H46/0.912/2),IF(D47="Stainless Steel",ABS(H46/0.875/2),""))</f>
        <v/>
      </c>
    </row>
    <row r="49" spans="2:9" ht="9" customHeight="1" x14ac:dyDescent="0.25">
      <c r="B49" s="514"/>
      <c r="C49" s="514"/>
      <c r="D49" s="157"/>
    </row>
    <row r="50" spans="2:9" ht="15.75" customHeight="1" x14ac:dyDescent="0.25">
      <c r="B50" s="498" t="s">
        <v>122</v>
      </c>
      <c r="C50" s="506"/>
      <c r="D50" s="460" t="s">
        <v>125</v>
      </c>
      <c r="E50" s="505" t="s">
        <v>225</v>
      </c>
      <c r="F50" s="505"/>
    </row>
    <row r="51" spans="2:9" ht="15.75" customHeight="1" x14ac:dyDescent="0.25">
      <c r="B51" s="498" t="s">
        <v>127</v>
      </c>
      <c r="C51" s="506"/>
      <c r="D51" s="140"/>
      <c r="E51" s="507"/>
      <c r="F51" s="507"/>
    </row>
    <row r="52" spans="2:9" ht="27" customHeight="1" x14ac:dyDescent="0.25">
      <c r="B52" s="521" t="s">
        <v>170</v>
      </c>
      <c r="C52" s="518"/>
      <c r="D52" s="223"/>
      <c r="E52" s="508"/>
      <c r="F52" s="507"/>
    </row>
    <row r="53" spans="2:9" ht="15.75" customHeight="1" x14ac:dyDescent="0.25">
      <c r="B53" s="498" t="s">
        <v>126</v>
      </c>
      <c r="C53" s="506"/>
      <c r="D53" s="460"/>
      <c r="E53" s="508"/>
      <c r="F53" s="507"/>
    </row>
    <row r="54" spans="2:9" ht="29.25" customHeight="1" x14ac:dyDescent="0.25">
      <c r="B54" s="498" t="s">
        <v>128</v>
      </c>
      <c r="C54" s="506"/>
      <c r="D54" s="221"/>
      <c r="E54" s="507"/>
      <c r="F54" s="507"/>
    </row>
    <row r="55" spans="2:9" ht="29.25" customHeight="1" x14ac:dyDescent="0.25">
      <c r="B55" s="314"/>
      <c r="C55" s="314"/>
      <c r="D55" s="314"/>
      <c r="E55" s="314"/>
      <c r="F55" s="314"/>
      <c r="G55" s="314"/>
    </row>
    <row r="56" spans="2:9" ht="19.5" customHeight="1" thickBot="1" x14ac:dyDescent="0.3">
      <c r="B56" s="509" t="s">
        <v>318</v>
      </c>
      <c r="C56" s="509"/>
      <c r="D56" s="509"/>
      <c r="E56" s="509"/>
      <c r="F56" s="509"/>
      <c r="G56" s="509"/>
      <c r="H56" s="509"/>
      <c r="I56" s="509"/>
    </row>
    <row r="57" spans="2:9" ht="19.5" customHeight="1" thickTop="1" x14ac:dyDescent="0.25">
      <c r="B57" s="466"/>
      <c r="C57" s="466"/>
      <c r="D57" s="466"/>
      <c r="E57" s="466"/>
      <c r="F57" s="466"/>
      <c r="G57" s="466"/>
      <c r="H57" s="466"/>
      <c r="I57" s="466"/>
    </row>
    <row r="58" spans="2:9" ht="19.5" customHeight="1" x14ac:dyDescent="0.25">
      <c r="B58" s="465"/>
      <c r="C58" s="465"/>
      <c r="D58" s="465"/>
      <c r="E58" s="465"/>
      <c r="F58" s="465"/>
      <c r="G58" s="465"/>
      <c r="H58" s="465"/>
      <c r="I58" s="465"/>
    </row>
    <row r="59" spans="2:9" ht="19.5" customHeight="1" x14ac:dyDescent="0.25">
      <c r="B59" s="465"/>
      <c r="C59" s="465"/>
      <c r="D59" s="465"/>
      <c r="E59" s="465"/>
      <c r="F59" s="465"/>
      <c r="G59" s="465"/>
      <c r="H59" s="465"/>
      <c r="I59" s="465"/>
    </row>
    <row r="60" spans="2:9" ht="19.5" customHeight="1" x14ac:dyDescent="0.25">
      <c r="B60" s="465"/>
      <c r="C60" s="465"/>
      <c r="D60" s="465"/>
      <c r="E60" s="465"/>
      <c r="F60" s="465"/>
      <c r="G60" s="465"/>
      <c r="H60" s="465"/>
      <c r="I60" s="465"/>
    </row>
    <row r="61" spans="2:9" ht="19.5" customHeight="1" x14ac:dyDescent="0.25">
      <c r="B61" s="465"/>
      <c r="C61" s="465"/>
      <c r="D61" s="465"/>
      <c r="E61" s="465"/>
      <c r="F61" s="465"/>
      <c r="G61" s="465"/>
      <c r="H61" s="465"/>
      <c r="I61" s="465"/>
    </row>
    <row r="62" spans="2:9" ht="15.75" customHeight="1" x14ac:dyDescent="0.25">
      <c r="B62" s="467" t="s">
        <v>148</v>
      </c>
      <c r="C62" s="28"/>
      <c r="D62" s="102"/>
      <c r="E62" s="102"/>
      <c r="F62" s="102"/>
      <c r="G62" s="102"/>
      <c r="H62" s="102"/>
      <c r="I62" s="102"/>
    </row>
    <row r="63" spans="2:9" ht="6" customHeight="1" x14ac:dyDescent="0.25"/>
    <row r="64" spans="2:9" ht="15.75" customHeight="1" x14ac:dyDescent="0.25">
      <c r="B64" s="500" t="s">
        <v>9</v>
      </c>
      <c r="C64" s="500"/>
      <c r="D64" s="500"/>
      <c r="E64" s="500"/>
      <c r="F64" s="500"/>
      <c r="G64" s="500"/>
      <c r="H64" s="500"/>
    </row>
    <row r="65" spans="2:8" ht="15.75" customHeight="1" x14ac:dyDescent="0.25">
      <c r="B65" s="500" t="s">
        <v>10</v>
      </c>
      <c r="C65" s="500"/>
      <c r="D65" s="500"/>
      <c r="E65" s="500"/>
      <c r="F65" s="500"/>
      <c r="G65" s="500"/>
      <c r="H65" s="500"/>
    </row>
    <row r="66" spans="2:8" ht="15.75" customHeight="1" x14ac:dyDescent="0.25">
      <c r="B66" s="500" t="s">
        <v>11</v>
      </c>
      <c r="C66" s="500"/>
      <c r="D66" s="500"/>
      <c r="E66" s="500"/>
      <c r="F66" s="500"/>
      <c r="G66" s="500"/>
      <c r="H66" s="500"/>
    </row>
    <row r="67" spans="2:8" ht="15.75" customHeight="1" x14ac:dyDescent="0.25">
      <c r="B67" s="500" t="s">
        <v>12</v>
      </c>
      <c r="C67" s="500"/>
      <c r="D67" s="500"/>
      <c r="E67" s="500"/>
      <c r="F67" s="500"/>
      <c r="G67" s="500"/>
      <c r="H67" s="500"/>
    </row>
    <row r="68" spans="2:8" ht="14.25" customHeight="1" x14ac:dyDescent="0.25">
      <c r="B68" s="522" t="s">
        <v>120</v>
      </c>
      <c r="C68" s="522"/>
      <c r="D68" s="522"/>
      <c r="E68" s="522"/>
      <c r="F68" s="522"/>
      <c r="G68" s="522"/>
      <c r="H68" s="522"/>
    </row>
    <row r="69" spans="2:8" ht="14.25" customHeight="1" x14ac:dyDescent="0.25">
      <c r="B69" s="522"/>
      <c r="C69" s="522"/>
      <c r="D69" s="522"/>
      <c r="E69" s="522"/>
      <c r="F69" s="522"/>
      <c r="G69" s="522"/>
      <c r="H69" s="522"/>
    </row>
    <row r="70" spans="2:8" ht="14.25" customHeight="1" x14ac:dyDescent="0.25">
      <c r="B70" s="522"/>
      <c r="C70" s="522"/>
      <c r="D70" s="522"/>
      <c r="E70" s="522"/>
      <c r="F70" s="522"/>
      <c r="G70" s="522"/>
      <c r="H70" s="522"/>
    </row>
    <row r="71" spans="2:8" ht="13.5" customHeight="1" x14ac:dyDescent="0.25">
      <c r="B71" s="522" t="s">
        <v>121</v>
      </c>
      <c r="C71" s="522"/>
      <c r="D71" s="522"/>
      <c r="E71" s="522"/>
      <c r="F71" s="522"/>
      <c r="G71" s="522"/>
      <c r="H71" s="522"/>
    </row>
    <row r="72" spans="2:8" ht="13.5" customHeight="1" x14ac:dyDescent="0.25">
      <c r="B72" s="522"/>
      <c r="C72" s="522"/>
      <c r="D72" s="522"/>
      <c r="E72" s="522"/>
      <c r="F72" s="522"/>
      <c r="G72" s="522"/>
      <c r="H72" s="522"/>
    </row>
    <row r="73" spans="2:8" ht="15.75" customHeight="1" x14ac:dyDescent="0.25"/>
    <row r="74" spans="2:8" ht="15.75" customHeight="1" x14ac:dyDescent="0.25">
      <c r="B74" s="491" t="s">
        <v>27</v>
      </c>
      <c r="C74" s="492"/>
      <c r="D74" s="108">
        <v>0</v>
      </c>
      <c r="E74" s="84" t="s">
        <v>20</v>
      </c>
      <c r="F74" s="122" t="str">
        <f>IF(ABS(D74&lt;1.25),"","Error: starting roll too high.  Re-check.")</f>
        <v/>
      </c>
      <c r="H74" s="25"/>
    </row>
    <row r="75" spans="2:8" ht="15.75" customHeight="1" x14ac:dyDescent="0.25">
      <c r="B75" s="491" t="s">
        <v>28</v>
      </c>
      <c r="C75" s="492"/>
      <c r="D75" s="108">
        <v>0</v>
      </c>
      <c r="E75" s="84" t="s">
        <v>20</v>
      </c>
      <c r="F75" s="122" t="str">
        <f>IF(ABS(D75&lt;1.25),"","Error: ending roll too high. Re-check.")</f>
        <v/>
      </c>
      <c r="H75" s="25"/>
    </row>
    <row r="76" spans="2:8" ht="15.75" customHeight="1" x14ac:dyDescent="0.25">
      <c r="B76" s="139"/>
      <c r="C76" s="138"/>
      <c r="D76" s="123"/>
      <c r="F76" s="124"/>
      <c r="H76" s="25"/>
    </row>
    <row r="77" spans="2:8" ht="15.75" customHeight="1" x14ac:dyDescent="0.25">
      <c r="B77" s="491" t="s">
        <v>29</v>
      </c>
      <c r="C77" s="492"/>
      <c r="D77" s="125">
        <v>0</v>
      </c>
      <c r="E77" s="84" t="s">
        <v>8</v>
      </c>
      <c r="F77" s="122" t="str">
        <f>IF(D77&lt;0,"Error: Weight should be positive",IF(D77&gt;2000,"Error, weight seems to be too high.",""))</f>
        <v/>
      </c>
      <c r="H77" s="25"/>
    </row>
    <row r="78" spans="2:8" ht="15.75" customHeight="1" x14ac:dyDescent="0.25">
      <c r="B78" s="491" t="s">
        <v>30</v>
      </c>
      <c r="C78" s="492"/>
      <c r="D78" s="125">
        <v>0</v>
      </c>
      <c r="E78" s="84" t="s">
        <v>8</v>
      </c>
      <c r="F78" s="122" t="str">
        <f>IF(D78&lt;0,"Error: Weight should be positive",IF(D78&gt;2000,"Error, weight seems to be too high.",""))</f>
        <v/>
      </c>
      <c r="H78" s="25"/>
    </row>
    <row r="79" spans="2:8" ht="15.75" customHeight="1" x14ac:dyDescent="0.25">
      <c r="B79" s="491" t="s">
        <v>31</v>
      </c>
      <c r="C79" s="492"/>
      <c r="D79" s="126">
        <f>(D75-D74)/(PI()/180)</f>
        <v>0</v>
      </c>
      <c r="E79" s="84" t="s">
        <v>26</v>
      </c>
      <c r="F79" s="124"/>
      <c r="H79" s="25"/>
    </row>
    <row r="80" spans="2:8" ht="26.25" customHeight="1" x14ac:dyDescent="0.25">
      <c r="B80" s="503" t="s">
        <v>129</v>
      </c>
      <c r="C80" s="504"/>
      <c r="D80" s="127">
        <v>107</v>
      </c>
      <c r="E80" s="84" t="s">
        <v>13</v>
      </c>
      <c r="F80" s="122" t="str">
        <f>IF(D80&lt;107,"Error: distance should be greater than radius of hull",IF(D80&gt;600,"Error: distance too high.",""))</f>
        <v/>
      </c>
      <c r="H80" s="25"/>
    </row>
    <row r="81" spans="2:8" ht="15.75" customHeight="1" x14ac:dyDescent="0.25">
      <c r="B81" s="491" t="s">
        <v>32</v>
      </c>
      <c r="C81" s="491"/>
      <c r="D81" s="491"/>
      <c r="F81" s="124"/>
      <c r="H81" s="25"/>
    </row>
    <row r="82" spans="2:8" ht="15.75" customHeight="1" x14ac:dyDescent="0.25">
      <c r="B82" s="134"/>
      <c r="C82" s="138"/>
      <c r="D82" s="128"/>
      <c r="F82" s="124"/>
      <c r="H82" s="25"/>
    </row>
    <row r="83" spans="2:8" ht="15.75" customHeight="1" x14ac:dyDescent="0.25">
      <c r="B83" s="488" t="s">
        <v>14</v>
      </c>
      <c r="C83" s="523"/>
      <c r="D83" s="126" t="e">
        <f>((D77+D78)*D80)/(D36*1000*TAN(D79*(PI()/180)))</f>
        <v>#DIV/0!</v>
      </c>
      <c r="E83" s="84" t="s">
        <v>13</v>
      </c>
      <c r="F83" s="124"/>
      <c r="H83" s="25"/>
    </row>
    <row r="84" spans="2:8" ht="15.75" customHeight="1" x14ac:dyDescent="0.25">
      <c r="B84" s="137"/>
      <c r="C84" s="138"/>
      <c r="D84" s="129"/>
      <c r="F84" s="124"/>
      <c r="H84" s="25"/>
    </row>
    <row r="85" spans="2:8" ht="15.75" customHeight="1" x14ac:dyDescent="0.25">
      <c r="B85" s="488" t="s">
        <v>226</v>
      </c>
      <c r="C85" s="523"/>
      <c r="D85" s="209">
        <f>E51</f>
        <v>0</v>
      </c>
      <c r="E85" s="84" t="s">
        <v>19</v>
      </c>
      <c r="F85" s="122" t="str">
        <f>IF(D85=0,"",IF(D85&lt;4,"Error: weight of pitch battery too low. Re-check",IF(D85&gt;12,"Error: weight of pitch battery too high.  Re-check.","")))</f>
        <v/>
      </c>
      <c r="H85" s="25"/>
    </row>
    <row r="86" spans="2:8" ht="26.25" customHeight="1" x14ac:dyDescent="0.25">
      <c r="B86" s="503" t="s">
        <v>130</v>
      </c>
      <c r="C86" s="504"/>
      <c r="D86" s="125">
        <v>1</v>
      </c>
      <c r="E86" s="84" t="s">
        <v>21</v>
      </c>
      <c r="F86" s="122" t="str">
        <f>IF(D86=1,"","Error: range of pitch battery is usually +/- 1 inch")</f>
        <v/>
      </c>
      <c r="H86" s="25"/>
    </row>
    <row r="87" spans="2:8" ht="15.75" customHeight="1" x14ac:dyDescent="0.25">
      <c r="B87" s="491" t="s">
        <v>15</v>
      </c>
      <c r="C87" s="492"/>
      <c r="D87" s="126" t="e">
        <f>DEGREES(ATAN((D85*25.4*D86/D31)/D83))</f>
        <v>#DIV/0!</v>
      </c>
      <c r="E87" s="84" t="s">
        <v>26</v>
      </c>
      <c r="F87" s="124"/>
      <c r="H87" s="25"/>
    </row>
    <row r="88" spans="2:8" ht="15.75" customHeight="1" x14ac:dyDescent="0.25">
      <c r="B88" s="273"/>
      <c r="C88" s="274"/>
      <c r="D88" s="274"/>
      <c r="E88" s="274"/>
      <c r="F88" s="124"/>
      <c r="H88" s="25"/>
    </row>
    <row r="89" spans="2:8" ht="15.75" customHeight="1" x14ac:dyDescent="0.25">
      <c r="B89" s="461"/>
      <c r="C89" s="274"/>
      <c r="D89" s="274"/>
      <c r="E89" s="274"/>
      <c r="F89" s="124"/>
      <c r="H89" s="25"/>
    </row>
    <row r="90" spans="2:8" ht="15.75" customHeight="1" x14ac:dyDescent="0.25">
      <c r="B90" s="461"/>
      <c r="C90" s="274"/>
      <c r="D90" s="274"/>
      <c r="E90" s="274"/>
      <c r="F90" s="124"/>
      <c r="H90" s="25"/>
    </row>
    <row r="91" spans="2:8" ht="15.75" customHeight="1" x14ac:dyDescent="0.25">
      <c r="B91" s="461"/>
      <c r="C91" s="274"/>
      <c r="D91" s="274"/>
      <c r="E91" s="274"/>
      <c r="F91" s="124"/>
      <c r="H91" s="25"/>
    </row>
    <row r="92" spans="2:8" ht="15.75" customHeight="1" x14ac:dyDescent="0.25">
      <c r="B92" s="461"/>
      <c r="C92" s="274"/>
      <c r="D92" s="274"/>
      <c r="E92" s="274"/>
      <c r="F92" s="124"/>
      <c r="H92" s="25"/>
    </row>
    <row r="93" spans="2:8" ht="15.75" customHeight="1" x14ac:dyDescent="0.25">
      <c r="B93" s="130" t="s">
        <v>149</v>
      </c>
      <c r="F93" s="124"/>
      <c r="H93" s="25"/>
    </row>
    <row r="94" spans="2:8" ht="5.5" customHeight="1" x14ac:dyDescent="0.25">
      <c r="F94" s="124"/>
      <c r="H94" s="25"/>
    </row>
    <row r="95" spans="2:8" ht="15.75" customHeight="1" x14ac:dyDescent="0.25">
      <c r="B95" s="84" t="s">
        <v>73</v>
      </c>
      <c r="F95" s="124"/>
      <c r="H95" s="25"/>
    </row>
    <row r="96" spans="2:8" ht="15.75" customHeight="1" x14ac:dyDescent="0.25">
      <c r="B96" s="84" t="s">
        <v>17</v>
      </c>
      <c r="F96" s="124"/>
      <c r="H96" s="25"/>
    </row>
    <row r="97" spans="2:8" ht="15.75" customHeight="1" x14ac:dyDescent="0.25">
      <c r="B97" s="84" t="s">
        <v>71</v>
      </c>
      <c r="F97" s="124"/>
      <c r="H97" s="25"/>
    </row>
    <row r="98" spans="2:8" ht="15.75" customHeight="1" x14ac:dyDescent="0.25">
      <c r="B98" s="84" t="s">
        <v>18</v>
      </c>
      <c r="F98" s="124"/>
      <c r="H98" s="25"/>
    </row>
    <row r="99" spans="2:8" ht="5.5" customHeight="1" x14ac:dyDescent="0.25">
      <c r="F99" s="124"/>
      <c r="H99" s="25"/>
    </row>
    <row r="100" spans="2:8" ht="15.75" customHeight="1" x14ac:dyDescent="0.25">
      <c r="B100" s="491" t="s">
        <v>226</v>
      </c>
      <c r="C100" s="492"/>
      <c r="D100" s="210">
        <f>E51</f>
        <v>0</v>
      </c>
      <c r="E100" s="84" t="s">
        <v>19</v>
      </c>
      <c r="F100" s="122" t="str">
        <f>IF(D100=0,"",IF(D100&lt;4,"Error: weight of pitch battery too low. Re-check",IF(D100&gt;12,"Error: weight of pitch battery too high.  Re-check.","")))</f>
        <v/>
      </c>
      <c r="H100" s="25"/>
    </row>
    <row r="101" spans="2:8" ht="15.75" customHeight="1" x14ac:dyDescent="0.25">
      <c r="B101" s="491" t="s">
        <v>22</v>
      </c>
      <c r="C101" s="492"/>
      <c r="D101" s="131">
        <v>0</v>
      </c>
      <c r="E101" s="84" t="s">
        <v>20</v>
      </c>
      <c r="F101" s="122" t="str">
        <f>IF(ABS(D101&lt;1.25),"","Error: starting pitch too high.  Re-check.")</f>
        <v/>
      </c>
      <c r="H101" s="25"/>
    </row>
    <row r="102" spans="2:8" ht="15.75" customHeight="1" x14ac:dyDescent="0.25">
      <c r="B102" s="491" t="s">
        <v>23</v>
      </c>
      <c r="C102" s="492"/>
      <c r="D102" s="131">
        <v>0</v>
      </c>
      <c r="E102" s="84" t="s">
        <v>21</v>
      </c>
      <c r="F102" s="122" t="str">
        <f>IF(ABS(D102)&gt;1.1,"Error, battery position out of range","")</f>
        <v/>
      </c>
      <c r="H102" s="25"/>
    </row>
    <row r="103" spans="2:8" ht="15.75" customHeight="1" x14ac:dyDescent="0.25">
      <c r="B103" s="491" t="s">
        <v>24</v>
      </c>
      <c r="C103" s="492"/>
      <c r="D103" s="131">
        <v>0</v>
      </c>
      <c r="E103" s="84" t="s">
        <v>20</v>
      </c>
      <c r="F103" s="122" t="str">
        <f>IF(ABS(D103&lt;1.25),"","Error: starting pitch too high.  Re-check.")</f>
        <v/>
      </c>
      <c r="H103" s="25"/>
    </row>
    <row r="104" spans="2:8" ht="15.75" customHeight="1" x14ac:dyDescent="0.25">
      <c r="B104" s="491" t="s">
        <v>25</v>
      </c>
      <c r="C104" s="492"/>
      <c r="D104" s="131">
        <v>0</v>
      </c>
      <c r="E104" s="84" t="s">
        <v>21</v>
      </c>
      <c r="F104" s="122" t="str">
        <f>IF(ABS(D104)&gt;1.1,"Error, battery position out of range","")</f>
        <v/>
      </c>
      <c r="H104" s="25"/>
    </row>
    <row r="105" spans="2:8" ht="15.75" customHeight="1" x14ac:dyDescent="0.25">
      <c r="B105" s="139"/>
      <c r="C105" s="138"/>
      <c r="F105" s="124"/>
      <c r="H105" s="25"/>
    </row>
    <row r="106" spans="2:8" ht="15.75" customHeight="1" x14ac:dyDescent="0.25">
      <c r="B106" s="488" t="s">
        <v>37</v>
      </c>
      <c r="C106" s="488"/>
      <c r="D106" s="208" t="e">
        <f>ABS(1000*25.4*(D102-D104)*(D100+0.1)/(D36*D45*TAN(D101-D103)))</f>
        <v>#DIV/0!</v>
      </c>
      <c r="E106" s="112" t="s">
        <v>13</v>
      </c>
      <c r="F106" s="124"/>
      <c r="H106" s="25"/>
    </row>
    <row r="107" spans="2:8" ht="8.25" customHeight="1" x14ac:dyDescent="0.25">
      <c r="B107" s="468"/>
      <c r="C107" s="462"/>
      <c r="F107" s="124"/>
      <c r="H107" s="25"/>
    </row>
    <row r="108" spans="2:8" ht="26.25" customHeight="1" x14ac:dyDescent="0.25">
      <c r="B108" s="489" t="s">
        <v>130</v>
      </c>
      <c r="C108" s="489"/>
      <c r="D108" s="125">
        <v>1</v>
      </c>
      <c r="E108" s="84" t="s">
        <v>21</v>
      </c>
      <c r="F108" s="122" t="str">
        <f>IF(D108=1,"","Error: range of pitch battery is usually +/- 1 inch")</f>
        <v/>
      </c>
      <c r="H108" s="25"/>
    </row>
    <row r="109" spans="2:8" ht="15.75" customHeight="1" x14ac:dyDescent="0.25">
      <c r="B109" s="490" t="s">
        <v>15</v>
      </c>
      <c r="C109" s="490"/>
      <c r="D109" s="126" t="e">
        <f>DEGREES(ATAN((D108*25.4*D100/D31)/D106))</f>
        <v>#DIV/0!</v>
      </c>
      <c r="E109" s="84" t="s">
        <v>26</v>
      </c>
      <c r="H109" s="25"/>
    </row>
    <row r="110" spans="2:8" ht="15.75" customHeight="1" x14ac:dyDescent="0.3">
      <c r="B110" s="25"/>
      <c r="C110" s="25"/>
      <c r="D110" s="25"/>
      <c r="E110" s="101"/>
      <c r="F110" s="282"/>
      <c r="G110" s="101"/>
      <c r="H110" s="281"/>
    </row>
    <row r="111" spans="2:8" ht="15.75" customHeight="1" thickBot="1" x14ac:dyDescent="0.35">
      <c r="B111" s="25"/>
      <c r="C111" s="25"/>
      <c r="D111" s="25"/>
      <c r="E111" s="101" t="s">
        <v>131</v>
      </c>
      <c r="F111" s="166"/>
      <c r="G111" s="101" t="s">
        <v>1</v>
      </c>
      <c r="H111" s="167"/>
    </row>
    <row r="112" spans="2:8" x14ac:dyDescent="0.25">
      <c r="B112" s="25"/>
      <c r="C112" s="25"/>
      <c r="D112" s="25"/>
    </row>
    <row r="113" spans="2:9" x14ac:dyDescent="0.25">
      <c r="B113" s="25"/>
      <c r="C113" s="25"/>
      <c r="D113" s="25"/>
    </row>
    <row r="114" spans="2:9" x14ac:dyDescent="0.25">
      <c r="B114" s="25"/>
      <c r="C114" s="25"/>
      <c r="D114" s="25"/>
      <c r="E114" s="25"/>
      <c r="F114" s="25"/>
      <c r="G114" s="25"/>
      <c r="H114" s="25"/>
      <c r="I114" s="25"/>
    </row>
    <row r="115" spans="2:9" x14ac:dyDescent="0.25">
      <c r="B115" s="25"/>
      <c r="C115" s="25"/>
      <c r="D115" s="25"/>
      <c r="E115" s="25"/>
      <c r="F115" s="25"/>
      <c r="G115" s="25"/>
      <c r="H115" s="25"/>
      <c r="I115" s="25"/>
    </row>
    <row r="116" spans="2:9" x14ac:dyDescent="0.25">
      <c r="B116" s="25"/>
      <c r="C116" s="25"/>
      <c r="D116" s="25"/>
      <c r="E116" s="25"/>
      <c r="F116" s="25"/>
      <c r="G116" s="25"/>
      <c r="H116" s="25"/>
      <c r="I116" s="25"/>
    </row>
    <row r="117" spans="2:9" ht="13" thickBot="1" x14ac:dyDescent="0.3">
      <c r="C117" s="25"/>
      <c r="D117" s="25"/>
      <c r="F117" s="25"/>
      <c r="G117" s="25"/>
      <c r="H117" s="25"/>
      <c r="I117" s="25"/>
    </row>
    <row r="118" spans="2:9" ht="13.5" thickBot="1" x14ac:dyDescent="0.3">
      <c r="B118" s="476" t="s">
        <v>257</v>
      </c>
      <c r="C118" s="477"/>
      <c r="D118" s="478"/>
      <c r="E118" s="25"/>
      <c r="F118" s="25"/>
      <c r="G118" s="25"/>
      <c r="H118" s="25"/>
      <c r="I118" s="25"/>
    </row>
    <row r="119" spans="2:9" ht="13.5" thickBot="1" x14ac:dyDescent="0.35">
      <c r="B119" s="479"/>
      <c r="C119" s="480"/>
      <c r="D119" s="329" t="s">
        <v>244</v>
      </c>
      <c r="E119" s="25"/>
      <c r="F119" s="25"/>
      <c r="G119" s="25"/>
      <c r="H119" s="25"/>
      <c r="I119" s="25"/>
    </row>
    <row r="120" spans="2:9" x14ac:dyDescent="0.25">
      <c r="B120" s="481" t="s">
        <v>240</v>
      </c>
      <c r="C120" s="448" t="s">
        <v>238</v>
      </c>
      <c r="D120" s="446"/>
      <c r="E120" s="25"/>
      <c r="F120" s="25"/>
      <c r="G120" s="25"/>
      <c r="H120" s="25"/>
      <c r="I120" s="25"/>
    </row>
    <row r="121" spans="2:9" x14ac:dyDescent="0.25">
      <c r="B121" s="482"/>
      <c r="C121" s="449" t="s">
        <v>227</v>
      </c>
      <c r="D121" s="446"/>
      <c r="E121" s="25"/>
      <c r="F121" s="25"/>
      <c r="G121" s="25"/>
      <c r="H121" s="25"/>
      <c r="I121" s="25"/>
    </row>
    <row r="122" spans="2:9" x14ac:dyDescent="0.25">
      <c r="B122" s="482"/>
      <c r="C122" s="449" t="s">
        <v>237</v>
      </c>
      <c r="D122" s="446"/>
      <c r="E122" s="25"/>
      <c r="F122" s="25"/>
      <c r="G122" s="25"/>
      <c r="H122" s="25"/>
      <c r="I122" s="25"/>
    </row>
    <row r="123" spans="2:9" x14ac:dyDescent="0.25">
      <c r="B123" s="482"/>
      <c r="C123" s="449" t="s">
        <v>228</v>
      </c>
      <c r="D123" s="446"/>
      <c r="E123" s="25"/>
      <c r="F123" s="25"/>
      <c r="G123" s="319"/>
      <c r="H123" s="320"/>
      <c r="I123" s="25"/>
    </row>
    <row r="124" spans="2:9" x14ac:dyDescent="0.25">
      <c r="B124" s="482"/>
      <c r="C124" s="449" t="s">
        <v>229</v>
      </c>
      <c r="D124" s="446"/>
      <c r="E124" s="25"/>
      <c r="F124" s="25"/>
      <c r="G124" s="319"/>
      <c r="H124" s="318"/>
      <c r="I124" s="25"/>
    </row>
    <row r="125" spans="2:9" x14ac:dyDescent="0.25">
      <c r="B125" s="482"/>
      <c r="C125" s="449" t="s">
        <v>239</v>
      </c>
      <c r="D125" s="446"/>
      <c r="E125" s="25"/>
      <c r="F125" s="25"/>
      <c r="G125" s="25"/>
      <c r="H125" s="25"/>
      <c r="I125" s="25"/>
    </row>
    <row r="126" spans="2:9" x14ac:dyDescent="0.25">
      <c r="B126" s="482"/>
      <c r="C126" s="449" t="s">
        <v>230</v>
      </c>
      <c r="D126" s="446"/>
      <c r="E126" s="25"/>
      <c r="F126" s="25"/>
      <c r="G126" s="25"/>
      <c r="H126" s="25"/>
      <c r="I126" s="25"/>
    </row>
    <row r="127" spans="2:9" x14ac:dyDescent="0.25">
      <c r="B127" s="482"/>
      <c r="C127" s="449" t="s">
        <v>231</v>
      </c>
      <c r="D127" s="446"/>
      <c r="E127" s="25"/>
      <c r="F127" s="25"/>
      <c r="G127" s="25"/>
      <c r="H127" s="25"/>
      <c r="I127" s="25"/>
    </row>
    <row r="128" spans="2:9" x14ac:dyDescent="0.25">
      <c r="B128" s="482"/>
      <c r="C128" s="449" t="s">
        <v>232</v>
      </c>
      <c r="D128" s="446"/>
      <c r="E128" s="25"/>
      <c r="F128" s="25"/>
      <c r="G128" s="25"/>
      <c r="H128" s="25"/>
      <c r="I128" s="25"/>
    </row>
    <row r="129" spans="2:9" x14ac:dyDescent="0.25">
      <c r="B129" s="482"/>
      <c r="C129" s="449" t="s">
        <v>233</v>
      </c>
      <c r="D129" s="446"/>
      <c r="E129" s="25"/>
      <c r="F129" s="25"/>
      <c r="G129" s="25"/>
      <c r="H129" s="25"/>
      <c r="I129" s="25"/>
    </row>
    <row r="130" spans="2:9" x14ac:dyDescent="0.25">
      <c r="B130" s="482"/>
      <c r="C130" s="449" t="s">
        <v>234</v>
      </c>
      <c r="D130" s="446"/>
      <c r="E130" s="25"/>
      <c r="F130" s="25"/>
      <c r="G130" s="25"/>
      <c r="H130" s="25"/>
      <c r="I130" s="25"/>
    </row>
    <row r="131" spans="2:9" x14ac:dyDescent="0.25">
      <c r="B131" s="482"/>
      <c r="C131" s="449" t="s">
        <v>235</v>
      </c>
      <c r="D131" s="446"/>
      <c r="E131" s="25"/>
      <c r="F131" s="25"/>
      <c r="G131" s="25"/>
      <c r="H131" s="25"/>
      <c r="I131" s="25"/>
    </row>
    <row r="132" spans="2:9" x14ac:dyDescent="0.25">
      <c r="B132" s="482"/>
      <c r="C132" s="449" t="s">
        <v>236</v>
      </c>
      <c r="D132" s="446"/>
      <c r="E132" s="25"/>
      <c r="F132" s="25"/>
      <c r="G132" s="25"/>
      <c r="H132" s="25"/>
      <c r="I132" s="25"/>
    </row>
    <row r="133" spans="2:9" ht="13" thickBot="1" x14ac:dyDescent="0.3">
      <c r="B133" s="483"/>
      <c r="C133" s="450" t="s">
        <v>247</v>
      </c>
      <c r="D133" s="447"/>
      <c r="E133" s="25"/>
      <c r="F133" s="25"/>
      <c r="G133" s="25"/>
      <c r="H133" s="25"/>
      <c r="I133" s="25"/>
    </row>
    <row r="134" spans="2:9" ht="13.5" thickBot="1" x14ac:dyDescent="0.35">
      <c r="B134" s="452"/>
      <c r="C134" s="451" t="s">
        <v>241</v>
      </c>
      <c r="D134" s="326"/>
      <c r="E134" s="327" t="s">
        <v>246</v>
      </c>
      <c r="F134" s="25"/>
      <c r="G134" s="25"/>
      <c r="H134" s="25"/>
      <c r="I134" s="25"/>
    </row>
    <row r="135" spans="2:9" ht="14" thickTop="1" thickBot="1" x14ac:dyDescent="0.35">
      <c r="B135" s="519"/>
      <c r="C135" s="453" t="s">
        <v>243</v>
      </c>
      <c r="D135" s="454">
        <f>SUM(D120:D133)/1000</f>
        <v>0</v>
      </c>
      <c r="E135" s="25"/>
      <c r="F135" s="25"/>
      <c r="G135" s="25"/>
      <c r="H135" s="25"/>
      <c r="I135" s="25"/>
    </row>
    <row r="136" spans="2:9" ht="13.5" thickBot="1" x14ac:dyDescent="0.35">
      <c r="B136" s="520"/>
      <c r="C136" s="328" t="s">
        <v>242</v>
      </c>
      <c r="D136" s="445">
        <f>((D135*1000)-D134)/D45</f>
        <v>0</v>
      </c>
      <c r="E136" s="25"/>
      <c r="F136" s="313"/>
      <c r="G136" s="25"/>
      <c r="H136" s="25"/>
      <c r="I136" s="25"/>
    </row>
    <row r="137" spans="2:9" x14ac:dyDescent="0.25">
      <c r="C137" s="25"/>
      <c r="D137" s="25"/>
      <c r="E137" s="316" t="str">
        <f>IF(D45&lt;700,"Please Input Tank Density","")</f>
        <v/>
      </c>
      <c r="F137" s="25"/>
      <c r="G137" s="25"/>
      <c r="H137" s="25"/>
      <c r="I137" s="25"/>
    </row>
    <row r="138" spans="2:9" x14ac:dyDescent="0.25">
      <c r="B138" s="103"/>
      <c r="C138" s="25"/>
      <c r="D138" s="25"/>
      <c r="E138" s="25"/>
      <c r="F138" s="25"/>
      <c r="G138" s="25"/>
      <c r="H138" s="25"/>
      <c r="I138" s="25"/>
    </row>
    <row r="139" spans="2:9" x14ac:dyDescent="0.25">
      <c r="B139" s="25"/>
      <c r="C139" s="25"/>
      <c r="D139" s="25"/>
      <c r="E139" s="25"/>
      <c r="F139" s="25"/>
      <c r="G139" s="25"/>
      <c r="H139" s="25"/>
      <c r="I139" s="25"/>
    </row>
  </sheetData>
  <dataConsolidate/>
  <mergeCells count="64">
    <mergeCell ref="B135:B136"/>
    <mergeCell ref="B74:C74"/>
    <mergeCell ref="B66:H66"/>
    <mergeCell ref="B40:C40"/>
    <mergeCell ref="B41:C41"/>
    <mergeCell ref="B52:C52"/>
    <mergeCell ref="E52:F52"/>
    <mergeCell ref="B68:H70"/>
    <mergeCell ref="B71:H72"/>
    <mergeCell ref="B67:H67"/>
    <mergeCell ref="B79:C79"/>
    <mergeCell ref="B103:C103"/>
    <mergeCell ref="B80:C80"/>
    <mergeCell ref="B81:D81"/>
    <mergeCell ref="B83:C83"/>
    <mergeCell ref="B85:C85"/>
    <mergeCell ref="B32:C32"/>
    <mergeCell ref="B64:H64"/>
    <mergeCell ref="B65:H65"/>
    <mergeCell ref="B56:I56"/>
    <mergeCell ref="B35:C36"/>
    <mergeCell ref="B39:C39"/>
    <mergeCell ref="B49:C49"/>
    <mergeCell ref="B42:C42"/>
    <mergeCell ref="B44:C44"/>
    <mergeCell ref="B45:C45"/>
    <mergeCell ref="B47:C47"/>
    <mergeCell ref="B48:C48"/>
    <mergeCell ref="B86:C86"/>
    <mergeCell ref="E50:F50"/>
    <mergeCell ref="B50:C50"/>
    <mergeCell ref="B51:C51"/>
    <mergeCell ref="B53:C53"/>
    <mergeCell ref="B54:C54"/>
    <mergeCell ref="E51:F51"/>
    <mergeCell ref="E53:F53"/>
    <mergeCell ref="E54:F54"/>
    <mergeCell ref="B19:B29"/>
    <mergeCell ref="F9:I9"/>
    <mergeCell ref="B9:E9"/>
    <mergeCell ref="B16:C16"/>
    <mergeCell ref="B17:C17"/>
    <mergeCell ref="B18:C18"/>
    <mergeCell ref="B15:C15"/>
    <mergeCell ref="B12:I12"/>
    <mergeCell ref="B11:I11"/>
    <mergeCell ref="B13:I13"/>
    <mergeCell ref="E28:F28"/>
    <mergeCell ref="B118:D118"/>
    <mergeCell ref="B119:C119"/>
    <mergeCell ref="B120:B133"/>
    <mergeCell ref="B31:C31"/>
    <mergeCell ref="B30:C30"/>
    <mergeCell ref="B106:C106"/>
    <mergeCell ref="B108:C108"/>
    <mergeCell ref="B109:C109"/>
    <mergeCell ref="B87:C87"/>
    <mergeCell ref="B100:C100"/>
    <mergeCell ref="B101:C101"/>
    <mergeCell ref="B102:C102"/>
    <mergeCell ref="B75:C75"/>
    <mergeCell ref="B104:C104"/>
    <mergeCell ref="B77:C77"/>
    <mergeCell ref="B78:C78"/>
  </mergeCells>
  <phoneticPr fontId="0" type="noConversion"/>
  <conditionalFormatting sqref="E19">
    <cfRule type="expression" dxfId="9" priority="4">
      <formula>IF(D19="Other: FWD",1,0)</formula>
    </cfRule>
  </conditionalFormatting>
  <conditionalFormatting sqref="E20">
    <cfRule type="expression" dxfId="8" priority="3">
      <formula>IF(D20="Other: AFT",1,0)</formula>
    </cfRule>
  </conditionalFormatting>
  <conditionalFormatting sqref="E21">
    <cfRule type="expression" dxfId="7" priority="2">
      <formula>IF(D21="Other: Primary",1,0)</formula>
    </cfRule>
  </conditionalFormatting>
  <conditionalFormatting sqref="E22">
    <cfRule type="expression" dxfId="6" priority="1">
      <formula>IF(D22="Other: Primary",1,0)</formula>
    </cfRule>
  </conditionalFormatting>
  <dataValidations count="5">
    <dataValidation type="list" allowBlank="1" showInputMessage="1" showErrorMessage="1" promptTitle="Select Battery Type" prompt="from drop-down menu" sqref="D50">
      <formula1>battery_type</formula1>
    </dataValidation>
    <dataValidation type="list" allowBlank="1" showInputMessage="1" promptTitle="Select Aft Configuration" prompt="from drop-down menu" sqref="D53">
      <formula1>aft_config</formula1>
    </dataValidation>
    <dataValidation type="list" allowBlank="1" showInputMessage="1" promptTitle="Select Nose Configuration" prompt="from drop-down menu" sqref="D54">
      <formula1>nose_config</formula1>
    </dataValidation>
    <dataValidation type="list" allowBlank="1" showInputMessage="1" showErrorMessage="1" promptTitle="Select Weight Material" prompt="from the drop-down menu" sqref="D47">
      <formula1>weight_type</formula1>
    </dataValidation>
    <dataValidation allowBlank="1" showInputMessage="1" promptTitle="Select Pond Wings" prompt="from drop-down menu" sqref="D28"/>
  </dataValidations>
  <pageMargins left="0.75" right="0.25" top="0.25" bottom="0.75" header="0.3" footer="0.3"/>
  <pageSetup scale="59" orientation="portrait" horizontalDpi="1200" verticalDpi="1200" r:id="rId1"/>
  <headerFooter alignWithMargins="0">
    <oddHeader xml:space="preserve">&amp;C&amp;F&amp;L
</oddHeader>
    <oddFooter xml:space="preserve">&amp;C&amp;A&amp;R&amp;P&amp;L
</oddFooter>
  </headerFooter>
  <rowBreaks count="2" manualBreakCount="2">
    <brk id="61" min="1" max="8" man="1"/>
    <brk id="112" max="16383" man="1"/>
  </rowBreaks>
  <colBreaks count="1" manualBreakCount="1">
    <brk id="9" max="131" man="1"/>
  </colBreaks>
  <drawing r:id="rId2"/>
  <legacyDrawing r:id="rId3"/>
  <mc:AlternateContent xmlns:mc="http://schemas.openxmlformats.org/markup-compatibility/2006">
    <mc:Choice Requires="x14">
      <controls>
        <mc:AlternateContent xmlns:mc="http://schemas.openxmlformats.org/markup-compatibility/2006">
          <mc:Choice Requires="x14">
            <control shapeId="1056" r:id="rId4" name="Check Box 32">
              <controlPr locked="0" defaultSize="0" autoFill="0" autoLine="0" autoPict="0">
                <anchor moveWithCells="1">
                  <from>
                    <xdr:col>3</xdr:col>
                    <xdr:colOff>1022350</xdr:colOff>
                    <xdr:row>22</xdr:row>
                    <xdr:rowOff>76200</xdr:rowOff>
                  </from>
                  <to>
                    <xdr:col>3</xdr:col>
                    <xdr:colOff>1231900</xdr:colOff>
                    <xdr:row>22</xdr:row>
                    <xdr:rowOff>247650</xdr:rowOff>
                  </to>
                </anchor>
              </controlPr>
            </control>
          </mc:Choice>
        </mc:AlternateContent>
        <mc:AlternateContent xmlns:mc="http://schemas.openxmlformats.org/markup-compatibility/2006">
          <mc:Choice Requires="x14">
            <control shapeId="1062" r:id="rId5" name="Check Box 38">
              <controlPr locked="0" defaultSize="0" autoFill="0" autoLine="0" autoPict="0">
                <anchor moveWithCells="1">
                  <from>
                    <xdr:col>3</xdr:col>
                    <xdr:colOff>1022350</xdr:colOff>
                    <xdr:row>23</xdr:row>
                    <xdr:rowOff>76200</xdr:rowOff>
                  </from>
                  <to>
                    <xdr:col>3</xdr:col>
                    <xdr:colOff>1231900</xdr:colOff>
                    <xdr:row>23</xdr:row>
                    <xdr:rowOff>247650</xdr:rowOff>
                  </to>
                </anchor>
              </controlPr>
            </control>
          </mc:Choice>
        </mc:AlternateContent>
        <mc:AlternateContent xmlns:mc="http://schemas.openxmlformats.org/markup-compatibility/2006">
          <mc:Choice Requires="x14">
            <control shapeId="1064" r:id="rId6" name="Check Box 40">
              <controlPr locked="0" defaultSize="0" autoFill="0" autoLine="0" autoPict="0">
                <anchor moveWithCells="1">
                  <from>
                    <xdr:col>3</xdr:col>
                    <xdr:colOff>1009650</xdr:colOff>
                    <xdr:row>24</xdr:row>
                    <xdr:rowOff>95250</xdr:rowOff>
                  </from>
                  <to>
                    <xdr:col>3</xdr:col>
                    <xdr:colOff>1219200</xdr:colOff>
                    <xdr:row>24</xdr:row>
                    <xdr:rowOff>247650</xdr:rowOff>
                  </to>
                </anchor>
              </controlPr>
            </control>
          </mc:Choice>
        </mc:AlternateContent>
        <mc:AlternateContent xmlns:mc="http://schemas.openxmlformats.org/markup-compatibility/2006">
          <mc:Choice Requires="x14">
            <control shapeId="1082" r:id="rId7" name="Check Box 58">
              <controlPr locked="0" defaultSize="0" autoFill="0" autoLine="0" autoPict="0">
                <anchor moveWithCells="1">
                  <from>
                    <xdr:col>3</xdr:col>
                    <xdr:colOff>1009650</xdr:colOff>
                    <xdr:row>28</xdr:row>
                    <xdr:rowOff>19050</xdr:rowOff>
                  </from>
                  <to>
                    <xdr:col>3</xdr:col>
                    <xdr:colOff>1219200</xdr:colOff>
                    <xdr:row>29</xdr:row>
                    <xdr:rowOff>50800</xdr:rowOff>
                  </to>
                </anchor>
              </controlPr>
            </control>
          </mc:Choice>
        </mc:AlternateContent>
        <mc:AlternateContent xmlns:mc="http://schemas.openxmlformats.org/markup-compatibility/2006">
          <mc:Choice Requires="x14">
            <control shapeId="1086" r:id="rId8" name="Check Box 62">
              <controlPr locked="0" defaultSize="0" autoFill="0" autoLine="0" autoPict="0">
                <anchor moveWithCells="1">
                  <from>
                    <xdr:col>3</xdr:col>
                    <xdr:colOff>342900</xdr:colOff>
                    <xdr:row>27</xdr:row>
                    <xdr:rowOff>57150</xdr:rowOff>
                  </from>
                  <to>
                    <xdr:col>3</xdr:col>
                    <xdr:colOff>571500</xdr:colOff>
                    <xdr:row>27</xdr:row>
                    <xdr:rowOff>285750</xdr:rowOff>
                  </to>
                </anchor>
              </controlPr>
            </control>
          </mc:Choice>
        </mc:AlternateContent>
        <mc:AlternateContent xmlns:mc="http://schemas.openxmlformats.org/markup-compatibility/2006">
          <mc:Choice Requires="x14">
            <control shapeId="1108" r:id="rId9" name="Check Box 84">
              <controlPr locked="0" defaultSize="0" autoFill="0" autoLine="0" autoPict="0">
                <anchor moveWithCells="1">
                  <from>
                    <xdr:col>3</xdr:col>
                    <xdr:colOff>1276350</xdr:colOff>
                    <xdr:row>27</xdr:row>
                    <xdr:rowOff>57150</xdr:rowOff>
                  </from>
                  <to>
                    <xdr:col>3</xdr:col>
                    <xdr:colOff>1581150</xdr:colOff>
                    <xdr:row>27</xdr:row>
                    <xdr:rowOff>285750</xdr:rowOff>
                  </to>
                </anchor>
              </controlPr>
            </control>
          </mc:Choice>
        </mc:AlternateContent>
        <mc:AlternateContent xmlns:mc="http://schemas.openxmlformats.org/markup-compatibility/2006">
          <mc:Choice Requires="x14">
            <control shapeId="1124" r:id="rId10" name="Check Box 100">
              <controlPr locked="0" defaultSize="0" autoFill="0" autoLine="0" autoPict="0">
                <anchor moveWithCells="1">
                  <from>
                    <xdr:col>3</xdr:col>
                    <xdr:colOff>1003300</xdr:colOff>
                    <xdr:row>25</xdr:row>
                    <xdr:rowOff>57150</xdr:rowOff>
                  </from>
                  <to>
                    <xdr:col>3</xdr:col>
                    <xdr:colOff>1955800</xdr:colOff>
                    <xdr:row>25</xdr:row>
                    <xdr:rowOff>266700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8" id="{601855D4-29A0-4258-A566-D51AE521FB7D}">
            <xm:f>IF(AND(Constants!$M$11=TRUE,Constants!$M$13=TRUE),1,0)</xm:f>
            <x14:dxf>
              <fill>
                <patternFill>
                  <bgColor rgb="FFFF0000"/>
                </patternFill>
              </fill>
            </x14:dxf>
          </x14:cfRule>
          <xm:sqref>D28</xm:sqref>
        </x14:conditionalFormatting>
      </x14:conditionalFormattings>
    </ext>
    <ext xmlns:x14="http://schemas.microsoft.com/office/spreadsheetml/2009/9/main" uri="{CCE6A557-97BC-4b89-ADB6-D9C93CAAB3DF}">
      <x14:dataValidations xmlns:xm="http://schemas.microsoft.com/office/excel/2006/main" count="8">
        <x14:dataValidation type="list" allowBlank="1" showInputMessage="1" showErrorMessage="1">
          <x14:formula1>
            <xm:f>Constants!$B$66:$B$70</xm:f>
          </x14:formula1>
          <xm:sqref>D19</xm:sqref>
        </x14:dataValidation>
        <x14:dataValidation type="list" allowBlank="1" showInputMessage="1" showErrorMessage="1">
          <x14:formula1>
            <xm:f>Constants!$B$65:$B$69</xm:f>
          </x14:formula1>
          <xm:sqref>D20</xm:sqref>
        </x14:dataValidation>
        <x14:dataValidation type="list" allowBlank="1" showInputMessage="1" showErrorMessage="1">
          <x14:formula1>
            <xm:f>Constants!$B$72:$B$78</xm:f>
          </x14:formula1>
          <xm:sqref>D22</xm:sqref>
        </x14:dataValidation>
        <x14:dataValidation type="list" allowBlank="1" showInputMessage="1" showErrorMessage="1">
          <x14:formula1>
            <xm:f>Constants!$B$72:$B$76</xm:f>
          </x14:formula1>
          <xm:sqref>D21</xm:sqref>
        </x14:dataValidation>
        <x14:dataValidation type="list" allowBlank="1" showInputMessage="1" showErrorMessage="1">
          <x14:formula1>
            <xm:f>Constants!$F$11:$F$12</xm:f>
          </x14:formula1>
          <xm:sqref>D52</xm:sqref>
        </x14:dataValidation>
        <x14:dataValidation type="list" allowBlank="1" showInputMessage="1" showErrorMessage="1" promptTitle="Volume Calculation Method" prompt="Please select your perfered volume calculation method.">
          <x14:formula1>
            <xm:f>Constants!$N$11:$N$12</xm:f>
          </x14:formula1>
          <xm:sqref>D35</xm:sqref>
        </x14:dataValidation>
        <x14:dataValidation type="list" allowBlank="1" showInputMessage="1" showErrorMessage="1">
          <x14:formula1>
            <xm:f>Constants!$K$11:$K$16</xm:f>
          </x14:formula1>
          <xm:sqref>D27</xm:sqref>
        </x14:dataValidation>
        <x14:dataValidation type="list" allowBlank="1" showInputMessage="1" promptTitle="Select Glider Type" prompt="from drop-down menu">
          <x14:formula1>
            <xm:f>Constants!$B$13:$B$17</xm:f>
          </x14:formula1>
          <xm:sqref>D18</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M55"/>
  <sheetViews>
    <sheetView topLeftCell="A31" zoomScale="70" zoomScaleNormal="70" workbookViewId="0">
      <selection activeCell="G49" sqref="G49"/>
    </sheetView>
  </sheetViews>
  <sheetFormatPr defaultColWidth="9.1796875" defaultRowHeight="12.5" x14ac:dyDescent="0.25"/>
  <cols>
    <col min="1" max="1" width="1" style="85" customWidth="1"/>
    <col min="2" max="2" width="25.81640625" style="85" customWidth="1"/>
    <col min="3" max="3" width="14.7265625" style="85" customWidth="1"/>
    <col min="4" max="5" width="13.26953125" style="85" customWidth="1"/>
    <col min="6" max="6" width="24.453125" style="85" customWidth="1"/>
    <col min="7" max="7" width="15.7265625" style="85" customWidth="1"/>
    <col min="8" max="8" width="3.7265625" style="85" customWidth="1"/>
    <col min="9" max="16384" width="9.1796875" style="85"/>
  </cols>
  <sheetData>
    <row r="1" spans="1:8" customFormat="1" ht="20.25" customHeight="1" x14ac:dyDescent="0.25">
      <c r="B1" s="25"/>
      <c r="C1" s="25"/>
      <c r="D1" s="25"/>
      <c r="E1" s="84"/>
      <c r="F1" s="158" t="s">
        <v>145</v>
      </c>
      <c r="G1" s="159" t="str">
        <f>Ballast!$I$1</f>
        <v>4095-GBPSH</v>
      </c>
      <c r="H1" s="25"/>
    </row>
    <row r="2" spans="1:8" customFormat="1" ht="20.25" customHeight="1" x14ac:dyDescent="0.25">
      <c r="B2" s="25"/>
      <c r="C2" s="25"/>
      <c r="D2" s="25"/>
      <c r="E2" s="84"/>
      <c r="F2" s="160" t="s">
        <v>146</v>
      </c>
      <c r="G2" s="161" t="str">
        <f>Ballast!$I$2</f>
        <v>H</v>
      </c>
      <c r="H2" s="25"/>
    </row>
    <row r="3" spans="1:8" customFormat="1" ht="20.25" customHeight="1" x14ac:dyDescent="0.25">
      <c r="B3" s="25"/>
      <c r="C3" s="25"/>
      <c r="D3" s="25"/>
      <c r="E3" s="84"/>
      <c r="F3" s="160" t="s">
        <v>1</v>
      </c>
      <c r="G3" s="162">
        <f>Ballast!$I$3</f>
        <v>44888</v>
      </c>
      <c r="H3" s="25"/>
    </row>
    <row r="4" spans="1:8" customFormat="1" ht="20.25" customHeight="1" thickBot="1" x14ac:dyDescent="0.3">
      <c r="B4" s="25"/>
      <c r="C4" s="25"/>
      <c r="D4" s="25"/>
      <c r="E4" s="84"/>
      <c r="F4" s="163" t="s">
        <v>147</v>
      </c>
      <c r="G4" s="164">
        <f>Ballast!$I$4</f>
        <v>14841</v>
      </c>
      <c r="H4" s="25"/>
    </row>
    <row r="5" spans="1:8" customFormat="1" ht="7.5" customHeight="1" thickBot="1" x14ac:dyDescent="0.3">
      <c r="B5" s="25"/>
      <c r="C5" s="25"/>
      <c r="D5" s="25"/>
      <c r="E5" s="25"/>
      <c r="F5" s="25"/>
      <c r="G5" s="25"/>
      <c r="H5" s="25"/>
    </row>
    <row r="6" spans="1:8" ht="24.75" customHeight="1" thickTop="1" x14ac:dyDescent="0.25">
      <c r="A6" s="216"/>
      <c r="B6" s="256" t="s">
        <v>84</v>
      </c>
      <c r="C6" s="165"/>
      <c r="D6" s="165"/>
      <c r="E6" s="165"/>
      <c r="F6" s="165"/>
      <c r="G6" s="165"/>
      <c r="H6" s="165"/>
    </row>
    <row r="7" spans="1:8" ht="15" customHeight="1" x14ac:dyDescent="0.25">
      <c r="B7" s="239" t="s">
        <v>0</v>
      </c>
      <c r="C7" s="240" t="str">
        <f>IF(ISBLANK(Ballast!D15),"",Ballast!D15)</f>
        <v>amlr05</v>
      </c>
      <c r="D7" s="241"/>
      <c r="E7" s="241"/>
      <c r="F7" s="241"/>
      <c r="G7" s="241"/>
      <c r="H7" s="139"/>
    </row>
    <row r="8" spans="1:8" ht="15" customHeight="1" x14ac:dyDescent="0.25">
      <c r="B8" s="239" t="s">
        <v>117</v>
      </c>
      <c r="C8" s="242" t="str">
        <f>IF(ISBLANK(Ballast!D16),"",Ballast!D16)</f>
        <v>GO, KB</v>
      </c>
      <c r="D8" s="243"/>
      <c r="E8" s="244"/>
      <c r="F8" s="242"/>
      <c r="G8" s="242"/>
      <c r="H8" s="139"/>
    </row>
    <row r="9" spans="1:8" ht="15" customHeight="1" x14ac:dyDescent="0.25">
      <c r="B9" s="239" t="s">
        <v>1</v>
      </c>
      <c r="C9" s="245">
        <f>IF(ISBLANK(Ballast!D17),"",Ballast!D17)</f>
        <v>46293</v>
      </c>
      <c r="D9" s="243"/>
      <c r="E9" s="244"/>
      <c r="F9" s="242"/>
      <c r="G9" s="242"/>
      <c r="H9" s="134"/>
    </row>
    <row r="10" spans="1:8" ht="15" customHeight="1" x14ac:dyDescent="0.25">
      <c r="B10" s="246" t="s">
        <v>109</v>
      </c>
      <c r="C10" s="247">
        <f>IF(Ballast!D32=0,"",Ballast!D32)</f>
        <v>87.502360174173447</v>
      </c>
      <c r="D10" s="248"/>
      <c r="E10" s="244"/>
      <c r="F10" s="249"/>
      <c r="G10" s="250"/>
      <c r="H10" s="139"/>
    </row>
    <row r="11" spans="1:8" ht="15" customHeight="1" x14ac:dyDescent="0.25">
      <c r="B11" s="239" t="s">
        <v>115</v>
      </c>
      <c r="C11" s="251" t="str">
        <f>IF(ISERROR(Ballast!D83),IF(ISERROR(Ballast!D106),"",Ballast!D106),Ballast!D83)</f>
        <v/>
      </c>
      <c r="D11" s="244"/>
      <c r="E11" s="252"/>
      <c r="F11" s="244"/>
      <c r="G11" s="244"/>
      <c r="H11" s="139"/>
    </row>
    <row r="12" spans="1:8" ht="8.25" customHeight="1" x14ac:dyDescent="0.25">
      <c r="B12" s="250"/>
      <c r="C12" s="244"/>
      <c r="D12" s="244"/>
      <c r="E12" s="244"/>
      <c r="F12" s="244"/>
      <c r="G12" s="244"/>
      <c r="H12" s="139"/>
    </row>
    <row r="13" spans="1:8" ht="15" customHeight="1" x14ac:dyDescent="0.25">
      <c r="B13" s="250" t="s">
        <v>85</v>
      </c>
      <c r="C13" s="244"/>
      <c r="D13" s="244"/>
      <c r="E13" s="244"/>
      <c r="F13" s="250" t="s">
        <v>86</v>
      </c>
      <c r="G13" s="244"/>
      <c r="H13" s="139"/>
    </row>
    <row r="14" spans="1:8" ht="15" customHeight="1" x14ac:dyDescent="0.25">
      <c r="B14" s="253" t="s">
        <v>110</v>
      </c>
      <c r="C14" s="254">
        <f>Ballast!D39</f>
        <v>21.178999999999998</v>
      </c>
      <c r="D14" s="244"/>
      <c r="E14" s="244"/>
      <c r="F14" s="253" t="s">
        <v>110</v>
      </c>
      <c r="G14" s="254">
        <f>Ballast!F39</f>
        <v>25.18</v>
      </c>
      <c r="H14" s="139"/>
    </row>
    <row r="15" spans="1:8" ht="15" customHeight="1" x14ac:dyDescent="0.25">
      <c r="B15" s="253" t="s">
        <v>111</v>
      </c>
      <c r="C15" s="254">
        <f>Ballast!D41</f>
        <v>6.37188</v>
      </c>
      <c r="D15" s="244"/>
      <c r="E15" s="244"/>
      <c r="F15" s="253" t="s">
        <v>111</v>
      </c>
      <c r="G15" s="254">
        <f>Ballast!F41</f>
        <v>5.1310000000000002</v>
      </c>
      <c r="H15" s="139"/>
    </row>
    <row r="16" spans="1:8" ht="15" customHeight="1" x14ac:dyDescent="0.25">
      <c r="B16" s="253" t="s">
        <v>112</v>
      </c>
      <c r="C16" s="254">
        <f>Ballast!D44</f>
        <v>46.99486266298382</v>
      </c>
      <c r="D16" s="244"/>
      <c r="E16" s="244"/>
      <c r="F16" s="253" t="s">
        <v>112</v>
      </c>
      <c r="G16" s="254">
        <f>Ballast!F44</f>
        <v>33.567938150322533</v>
      </c>
      <c r="H16" s="139"/>
    </row>
    <row r="17" spans="2:11" ht="15" customHeight="1" x14ac:dyDescent="0.25">
      <c r="B17" s="253" t="s">
        <v>113</v>
      </c>
      <c r="C17" s="255">
        <f>Ballast!D45</f>
        <v>1033.6076095175492</v>
      </c>
      <c r="D17" s="244"/>
      <c r="E17" s="244"/>
      <c r="F17" s="253" t="s">
        <v>113</v>
      </c>
      <c r="G17" s="255">
        <f>Ballast!F45</f>
        <v>1022.2066967819957</v>
      </c>
      <c r="H17" s="139"/>
    </row>
    <row r="18" spans="2:11" ht="9.75" customHeight="1" thickBot="1" x14ac:dyDescent="0.3">
      <c r="B18" s="264"/>
      <c r="C18" s="265"/>
      <c r="D18" s="244"/>
      <c r="E18" s="244"/>
      <c r="F18" s="264"/>
      <c r="G18" s="265"/>
      <c r="H18" s="226"/>
    </row>
    <row r="19" spans="2:11" ht="7.5" customHeight="1" thickTop="1" x14ac:dyDescent="0.25">
      <c r="B19" s="266"/>
      <c r="C19" s="267"/>
      <c r="D19" s="267"/>
      <c r="E19" s="267"/>
      <c r="F19" s="267"/>
      <c r="G19" s="267"/>
      <c r="H19" s="99"/>
    </row>
    <row r="20" spans="2:11" s="157" customFormat="1" ht="30" customHeight="1" x14ac:dyDescent="0.25">
      <c r="B20" s="238" t="s">
        <v>114</v>
      </c>
      <c r="C20" s="525" t="s">
        <v>175</v>
      </c>
      <c r="D20" s="525"/>
      <c r="E20" s="525"/>
      <c r="F20" s="525"/>
      <c r="G20" s="525"/>
      <c r="H20" s="257"/>
      <c r="I20" s="258"/>
    </row>
    <row r="21" spans="2:11" s="157" customFormat="1" ht="18" customHeight="1" x14ac:dyDescent="0.25">
      <c r="B21" s="527" t="s">
        <v>317</v>
      </c>
      <c r="C21" s="527"/>
      <c r="D21" s="527" t="s">
        <v>315</v>
      </c>
      <c r="E21" s="527"/>
      <c r="F21" s="527" t="s">
        <v>316</v>
      </c>
      <c r="G21" s="527"/>
      <c r="I21" s="531" t="s">
        <v>333</v>
      </c>
      <c r="J21" s="532"/>
      <c r="K21" s="532"/>
    </row>
    <row r="22" spans="2:11" s="157" customFormat="1" ht="6" customHeight="1" x14ac:dyDescent="0.25">
      <c r="C22" s="198"/>
    </row>
    <row r="23" spans="2:11" s="157" customFormat="1" ht="18" customHeight="1" x14ac:dyDescent="0.25">
      <c r="B23" s="199"/>
      <c r="C23" s="199"/>
    </row>
    <row r="24" spans="2:11" s="157" customFormat="1" ht="18" customHeight="1" x14ac:dyDescent="0.25">
      <c r="B24" s="199"/>
      <c r="C24" s="199"/>
    </row>
    <row r="25" spans="2:11" s="157" customFormat="1" ht="18" customHeight="1" x14ac:dyDescent="0.25"/>
    <row r="26" spans="2:11" s="157" customFormat="1" ht="18" customHeight="1" x14ac:dyDescent="0.25"/>
    <row r="27" spans="2:11" s="157" customFormat="1" ht="18" customHeight="1" x14ac:dyDescent="0.25"/>
    <row r="28" spans="2:11" s="157" customFormat="1" ht="18" customHeight="1" x14ac:dyDescent="0.25"/>
    <row r="29" spans="2:11" s="157" customFormat="1" ht="18" customHeight="1" x14ac:dyDescent="0.25"/>
    <row r="30" spans="2:11" s="157" customFormat="1" ht="18" customHeight="1" x14ac:dyDescent="0.25"/>
    <row r="31" spans="2:11" s="157" customFormat="1" ht="18" customHeight="1" x14ac:dyDescent="0.25"/>
    <row r="32" spans="2:11" s="157" customFormat="1" ht="18" customHeight="1" thickBot="1" x14ac:dyDescent="0.3">
      <c r="C32" s="198"/>
    </row>
    <row r="33" spans="2:13" s="157" customFormat="1" ht="9.75" customHeight="1" thickTop="1" x14ac:dyDescent="0.25">
      <c r="B33" s="268"/>
      <c r="C33" s="268"/>
      <c r="D33" s="268"/>
      <c r="E33" s="268"/>
      <c r="F33" s="268"/>
      <c r="G33" s="268"/>
    </row>
    <row r="34" spans="2:13" s="157" customFormat="1" ht="18" customHeight="1" x14ac:dyDescent="0.25">
      <c r="B34" s="526" t="s">
        <v>176</v>
      </c>
      <c r="C34" s="526"/>
      <c r="D34" s="271" t="s">
        <v>177</v>
      </c>
      <c r="E34" s="225"/>
      <c r="F34" s="225"/>
      <c r="G34" s="225"/>
      <c r="H34" s="225"/>
    </row>
    <row r="35" spans="2:13" s="157" customFormat="1" ht="18" customHeight="1" x14ac:dyDescent="0.25">
      <c r="B35" s="224"/>
      <c r="C35" s="225"/>
      <c r="D35" s="225"/>
      <c r="E35" s="225"/>
      <c r="F35" s="225"/>
      <c r="G35" s="225"/>
      <c r="H35" s="225"/>
    </row>
    <row r="36" spans="2:13" s="157" customFormat="1" ht="18" customHeight="1" x14ac:dyDescent="0.25">
      <c r="B36" s="260"/>
      <c r="C36" s="225"/>
      <c r="D36" s="225"/>
      <c r="E36" s="225"/>
      <c r="F36" s="225"/>
      <c r="G36" s="261"/>
      <c r="H36" s="225"/>
    </row>
    <row r="37" spans="2:13" s="157" customFormat="1" ht="18" customHeight="1" x14ac:dyDescent="0.25">
      <c r="B37" s="260"/>
      <c r="C37" s="225"/>
      <c r="D37" s="225"/>
      <c r="E37" s="225"/>
      <c r="F37" s="225"/>
      <c r="G37" s="259"/>
      <c r="H37" s="225"/>
    </row>
    <row r="38" spans="2:13" s="157" customFormat="1" ht="18" customHeight="1" x14ac:dyDescent="0.25">
      <c r="B38" s="263"/>
      <c r="C38" s="225"/>
      <c r="D38" s="225"/>
      <c r="E38" s="225"/>
      <c r="F38" s="225"/>
      <c r="G38" s="262"/>
      <c r="H38" s="225"/>
    </row>
    <row r="39" spans="2:13" s="157" customFormat="1" ht="18" customHeight="1" x14ac:dyDescent="0.25">
      <c r="B39" s="260"/>
      <c r="C39" s="225"/>
      <c r="D39" s="225"/>
      <c r="E39" s="225"/>
      <c r="F39" s="225"/>
      <c r="G39" s="259"/>
      <c r="H39" s="225"/>
    </row>
    <row r="40" spans="2:13" s="157" customFormat="1" ht="18" customHeight="1" x14ac:dyDescent="0.25">
      <c r="B40" s="260"/>
      <c r="C40" s="225"/>
      <c r="D40" s="225"/>
      <c r="E40" s="225"/>
      <c r="F40" s="225"/>
      <c r="G40" s="261"/>
      <c r="H40" s="225"/>
    </row>
    <row r="41" spans="2:13" s="157" customFormat="1" ht="18" customHeight="1" x14ac:dyDescent="0.25">
      <c r="B41" s="224"/>
      <c r="C41" s="225"/>
      <c r="D41" s="225"/>
      <c r="E41" s="225"/>
      <c r="F41" s="225"/>
      <c r="G41" s="225"/>
      <c r="H41" s="225"/>
    </row>
    <row r="42" spans="2:13" s="157" customFormat="1" ht="21.75" customHeight="1" thickBot="1" x14ac:dyDescent="0.3">
      <c r="B42" s="224"/>
      <c r="C42" s="225"/>
      <c r="D42" s="225"/>
      <c r="E42" s="225"/>
      <c r="F42" s="225"/>
      <c r="G42" s="225"/>
      <c r="H42" s="225"/>
    </row>
    <row r="43" spans="2:13" s="157" customFormat="1" ht="9.75" customHeight="1" thickTop="1" x14ac:dyDescent="0.25">
      <c r="B43" s="269"/>
      <c r="C43" s="270"/>
      <c r="D43" s="270"/>
      <c r="E43" s="270"/>
      <c r="F43" s="270"/>
      <c r="G43" s="270"/>
      <c r="H43" s="225"/>
    </row>
    <row r="44" spans="2:13" ht="18" customHeight="1" x14ac:dyDescent="0.25">
      <c r="B44" s="96" t="s">
        <v>88</v>
      </c>
      <c r="C44" s="92"/>
      <c r="D44" s="92"/>
    </row>
    <row r="45" spans="2:13" ht="8.25" customHeight="1" x14ac:dyDescent="0.25">
      <c r="B45" s="95"/>
    </row>
    <row r="46" spans="2:13" ht="12" customHeight="1" thickBot="1" x14ac:dyDescent="0.3">
      <c r="B46" s="227" t="s">
        <v>72</v>
      </c>
      <c r="C46" s="227" t="s">
        <v>116</v>
      </c>
      <c r="D46" s="227" t="s">
        <v>87</v>
      </c>
      <c r="E46" s="227" t="s">
        <v>116</v>
      </c>
      <c r="F46" s="227" t="s">
        <v>36</v>
      </c>
      <c r="G46" s="227" t="s">
        <v>116</v>
      </c>
      <c r="H46" s="528"/>
      <c r="I46" s="529"/>
      <c r="L46" s="530"/>
      <c r="M46" s="530"/>
    </row>
    <row r="47" spans="2:13" ht="12" customHeight="1" thickTop="1" x14ac:dyDescent="0.25">
      <c r="B47" s="228" t="s">
        <v>89</v>
      </c>
      <c r="C47" s="229"/>
      <c r="D47" s="228" t="s">
        <v>90</v>
      </c>
      <c r="E47" s="229"/>
      <c r="F47" s="228" t="s">
        <v>313</v>
      </c>
      <c r="G47" s="229">
        <v>195</v>
      </c>
      <c r="H47" s="93"/>
      <c r="I47" s="524"/>
      <c r="J47" s="524"/>
      <c r="K47" s="524"/>
      <c r="L47" s="524"/>
      <c r="M47" s="97"/>
    </row>
    <row r="48" spans="2:13" ht="12" customHeight="1" x14ac:dyDescent="0.25">
      <c r="B48" s="230" t="s">
        <v>91</v>
      </c>
      <c r="C48" s="231"/>
      <c r="D48" s="230" t="s">
        <v>92</v>
      </c>
      <c r="E48" s="231"/>
      <c r="F48" s="230" t="s">
        <v>314</v>
      </c>
      <c r="G48" s="231">
        <v>195</v>
      </c>
      <c r="H48" s="94"/>
      <c r="I48" s="524"/>
      <c r="J48" s="524"/>
      <c r="K48" s="524"/>
      <c r="L48" s="524"/>
      <c r="M48" s="97"/>
    </row>
    <row r="49" spans="2:13" ht="12" customHeight="1" x14ac:dyDescent="0.25">
      <c r="B49" s="230" t="s">
        <v>93</v>
      </c>
      <c r="C49" s="231"/>
      <c r="D49" s="230" t="s">
        <v>94</v>
      </c>
      <c r="E49" s="231"/>
      <c r="F49" s="230" t="s">
        <v>335</v>
      </c>
      <c r="G49" s="230"/>
      <c r="H49" s="93"/>
      <c r="I49" s="93"/>
      <c r="K49" s="524"/>
      <c r="L49" s="524"/>
      <c r="M49" s="97"/>
    </row>
    <row r="50" spans="2:13" ht="12" customHeight="1" x14ac:dyDescent="0.25">
      <c r="B50" s="232"/>
      <c r="C50" s="230"/>
      <c r="D50" s="230" t="s">
        <v>95</v>
      </c>
      <c r="E50" s="231"/>
      <c r="G50" s="230"/>
      <c r="H50" s="94"/>
      <c r="I50" s="524"/>
      <c r="J50" s="524"/>
      <c r="K50" s="524"/>
      <c r="L50" s="524"/>
      <c r="M50" s="97"/>
    </row>
    <row r="51" spans="2:13" ht="12" customHeight="1" x14ac:dyDescent="0.25">
      <c r="B51" s="230" t="s">
        <v>334</v>
      </c>
      <c r="C51" s="233">
        <v>9</v>
      </c>
      <c r="D51" s="230" t="s">
        <v>118</v>
      </c>
      <c r="E51" s="234"/>
      <c r="F51" s="233" t="s">
        <v>336</v>
      </c>
      <c r="G51" s="233">
        <v>9</v>
      </c>
      <c r="H51" s="98"/>
      <c r="I51" s="98"/>
      <c r="J51" s="98"/>
      <c r="K51" s="98"/>
      <c r="L51" s="98"/>
      <c r="M51" s="98"/>
    </row>
    <row r="52" spans="2:13" ht="12" customHeight="1" x14ac:dyDescent="0.25">
      <c r="B52" s="235"/>
      <c r="C52" s="235"/>
      <c r="D52" s="236"/>
      <c r="E52" s="235"/>
      <c r="F52" s="235"/>
      <c r="G52" s="235"/>
      <c r="H52" s="98"/>
      <c r="I52" s="98"/>
      <c r="J52" s="98"/>
      <c r="K52" s="98"/>
      <c r="L52" s="98"/>
      <c r="M52" s="98"/>
    </row>
    <row r="53" spans="2:13" ht="12" customHeight="1" x14ac:dyDescent="0.25">
      <c r="B53" s="230" t="s">
        <v>159</v>
      </c>
      <c r="C53" s="297" t="str">
        <f>IF(ISBLANK(Ballast!D28),"",Ballast!D28)</f>
        <v xml:space="preserve">      Installed             Dummy</v>
      </c>
      <c r="D53" s="236"/>
      <c r="E53" s="235"/>
      <c r="F53" s="235"/>
      <c r="G53" s="235"/>
      <c r="H53" s="98"/>
      <c r="I53" s="98"/>
      <c r="J53" s="98"/>
      <c r="K53" s="98"/>
      <c r="L53" s="98"/>
      <c r="M53" s="98"/>
    </row>
    <row r="54" spans="2:13" ht="12" customHeight="1" x14ac:dyDescent="0.25">
      <c r="B54" s="272" t="s">
        <v>158</v>
      </c>
      <c r="C54" s="297" t="str">
        <f>IF(ISBLANK(Ballast!D27),"",Ballast!D27)</f>
        <v>None</v>
      </c>
      <c r="D54" s="237"/>
      <c r="E54" s="237"/>
      <c r="F54" s="237"/>
      <c r="G54" s="237"/>
    </row>
    <row r="55" spans="2:13" ht="12" customHeight="1" x14ac:dyDescent="0.25">
      <c r="B55" s="280" t="s">
        <v>337</v>
      </c>
      <c r="C55" s="283">
        <v>130.1</v>
      </c>
      <c r="D55" s="237"/>
      <c r="E55" s="237"/>
      <c r="F55" s="237"/>
      <c r="G55" s="237"/>
    </row>
  </sheetData>
  <mergeCells count="15">
    <mergeCell ref="I50:J50"/>
    <mergeCell ref="K50:L50"/>
    <mergeCell ref="C20:G20"/>
    <mergeCell ref="B34:C34"/>
    <mergeCell ref="I48:J48"/>
    <mergeCell ref="K48:L48"/>
    <mergeCell ref="K49:L49"/>
    <mergeCell ref="D21:E21"/>
    <mergeCell ref="F21:G21"/>
    <mergeCell ref="B21:C21"/>
    <mergeCell ref="I47:J47"/>
    <mergeCell ref="K47:L47"/>
    <mergeCell ref="H46:I46"/>
    <mergeCell ref="L46:M46"/>
    <mergeCell ref="I21:K21"/>
  </mergeCells>
  <phoneticPr fontId="0" type="noConversion"/>
  <pageMargins left="0.7" right="0.7" top="0.75" bottom="0.75" header="0.3" footer="0.3"/>
  <pageSetup scale="82" orientation="portrait" r:id="rId1"/>
  <headerFooter>
    <oddHeader xml:space="preserve">&amp;C&amp;F&amp;L
</oddHeader>
    <oddFooter xml:space="preserve">&amp;C&amp;A&amp;L
</oddFoot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D3:I14"/>
  <sheetViews>
    <sheetView workbookViewId="0">
      <selection activeCell="D4" sqref="D4:D14"/>
    </sheetView>
  </sheetViews>
  <sheetFormatPr defaultRowHeight="12.5" x14ac:dyDescent="0.25"/>
  <sheetData>
    <row r="3" spans="4:9" x14ac:dyDescent="0.25">
      <c r="D3" s="301" t="s">
        <v>328</v>
      </c>
      <c r="I3" s="301" t="s">
        <v>329</v>
      </c>
    </row>
    <row r="4" spans="4:9" x14ac:dyDescent="0.25">
      <c r="D4" t="e">
        <f>AVERAGE(B4:C4)</f>
        <v>#DIV/0!</v>
      </c>
      <c r="I4" t="e">
        <f>AVERAGE(G4:H4)</f>
        <v>#DIV/0!</v>
      </c>
    </row>
    <row r="5" spans="4:9" x14ac:dyDescent="0.25">
      <c r="D5" t="e">
        <f t="shared" ref="D5:D14" si="0">AVERAGE(B5:C5)</f>
        <v>#DIV/0!</v>
      </c>
      <c r="I5" t="e">
        <f t="shared" ref="I5:I14" si="1">AVERAGE(G5:H5)</f>
        <v>#DIV/0!</v>
      </c>
    </row>
    <row r="6" spans="4:9" x14ac:dyDescent="0.25">
      <c r="D6" t="e">
        <f t="shared" si="0"/>
        <v>#DIV/0!</v>
      </c>
      <c r="I6" t="e">
        <f t="shared" si="1"/>
        <v>#DIV/0!</v>
      </c>
    </row>
    <row r="7" spans="4:9" x14ac:dyDescent="0.25">
      <c r="D7" t="e">
        <f t="shared" si="0"/>
        <v>#DIV/0!</v>
      </c>
      <c r="I7" t="e">
        <f t="shared" si="1"/>
        <v>#DIV/0!</v>
      </c>
    </row>
    <row r="8" spans="4:9" x14ac:dyDescent="0.25">
      <c r="D8" t="e">
        <f t="shared" si="0"/>
        <v>#DIV/0!</v>
      </c>
      <c r="I8" t="e">
        <f t="shared" si="1"/>
        <v>#DIV/0!</v>
      </c>
    </row>
    <row r="9" spans="4:9" x14ac:dyDescent="0.25">
      <c r="D9" t="e">
        <f t="shared" si="0"/>
        <v>#DIV/0!</v>
      </c>
      <c r="I9" t="e">
        <f t="shared" si="1"/>
        <v>#DIV/0!</v>
      </c>
    </row>
    <row r="10" spans="4:9" x14ac:dyDescent="0.25">
      <c r="D10" t="e">
        <f t="shared" si="0"/>
        <v>#DIV/0!</v>
      </c>
      <c r="I10" t="e">
        <f t="shared" si="1"/>
        <v>#DIV/0!</v>
      </c>
    </row>
    <row r="11" spans="4:9" x14ac:dyDescent="0.25">
      <c r="D11" t="e">
        <f t="shared" si="0"/>
        <v>#DIV/0!</v>
      </c>
      <c r="I11" t="e">
        <f t="shared" si="1"/>
        <v>#DIV/0!</v>
      </c>
    </row>
    <row r="12" spans="4:9" x14ac:dyDescent="0.25">
      <c r="D12" t="e">
        <f t="shared" si="0"/>
        <v>#DIV/0!</v>
      </c>
      <c r="I12" t="e">
        <f t="shared" si="1"/>
        <v>#DIV/0!</v>
      </c>
    </row>
    <row r="13" spans="4:9" x14ac:dyDescent="0.25">
      <c r="D13" t="e">
        <f t="shared" si="0"/>
        <v>#DIV/0!</v>
      </c>
      <c r="I13" t="e">
        <f t="shared" si="1"/>
        <v>#DIV/0!</v>
      </c>
    </row>
    <row r="14" spans="4:9" x14ac:dyDescent="0.25">
      <c r="D14" t="e">
        <f t="shared" si="0"/>
        <v>#DIV/0!</v>
      </c>
      <c r="I14" t="e">
        <f t="shared" si="1"/>
        <v>#DIV/0!</v>
      </c>
    </row>
  </sheetData>
  <pageMargins left="0.7" right="0.7" top="0.75" bottom="0.75" header="0.3" footer="0.3"/>
  <pageSetup orientation="portrait" r:id="rId1"/>
  <headerFooter>
    <oddHeader xml:space="preserve">&amp;L
</oddHeader>
    <oddFooter xml:space="preserve">&amp;L
</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S112"/>
  <sheetViews>
    <sheetView view="pageBreakPreview" topLeftCell="A78" zoomScale="60" zoomScaleNormal="80" workbookViewId="0">
      <selection activeCell="H122" sqref="H122"/>
    </sheetView>
  </sheetViews>
  <sheetFormatPr defaultColWidth="9.1796875" defaultRowHeight="12.5" x14ac:dyDescent="0.25"/>
  <cols>
    <col min="1" max="1" width="4.54296875" style="85" customWidth="1"/>
    <col min="2" max="2" width="41.26953125" style="85" customWidth="1"/>
    <col min="3" max="3" width="22.54296875" style="85" bestFit="1" customWidth="1"/>
    <col min="4" max="4" width="24.1796875" style="85" customWidth="1"/>
    <col min="5" max="5" width="20.7265625" style="85" customWidth="1"/>
    <col min="6" max="6" width="23.1796875" style="85" customWidth="1"/>
    <col min="7" max="7" width="22.7265625" style="85" customWidth="1"/>
    <col min="8" max="8" width="29.81640625" style="85" customWidth="1"/>
    <col min="9" max="9" width="14.81640625" style="85" bestFit="1" customWidth="1"/>
    <col min="10" max="10" width="22.54296875" style="85" bestFit="1" customWidth="1"/>
    <col min="11" max="11" width="10.54296875" style="85" bestFit="1" customWidth="1"/>
    <col min="12" max="12" width="24.453125" style="85" bestFit="1" customWidth="1"/>
    <col min="13" max="13" width="11.1796875" style="85" bestFit="1" customWidth="1"/>
    <col min="14" max="14" width="15.81640625" style="85" bestFit="1" customWidth="1"/>
    <col min="15" max="15" width="15.54296875" style="85" bestFit="1" customWidth="1"/>
    <col min="16" max="17" width="15.81640625" style="85" bestFit="1" customWidth="1"/>
    <col min="18" max="18" width="16.7265625" style="85" bestFit="1" customWidth="1"/>
    <col min="19" max="19" width="15.7265625" style="85" bestFit="1" customWidth="1"/>
    <col min="20" max="16384" width="9.1796875" style="85"/>
  </cols>
  <sheetData>
    <row r="1" spans="1:19" customFormat="1" ht="15.65" customHeight="1" x14ac:dyDescent="0.25">
      <c r="C1" s="85"/>
      <c r="D1" s="85"/>
      <c r="E1" s="85"/>
      <c r="F1" s="102"/>
      <c r="G1" s="158" t="s">
        <v>145</v>
      </c>
      <c r="H1" s="159" t="str">
        <f>Ballast!$I$1</f>
        <v>4095-GBPSH</v>
      </c>
      <c r="I1" s="85"/>
      <c r="J1" s="85"/>
    </row>
    <row r="2" spans="1:19" customFormat="1" ht="15.75" customHeight="1" x14ac:dyDescent="0.25">
      <c r="C2" s="85"/>
      <c r="D2" s="85"/>
      <c r="E2" s="85"/>
      <c r="F2" s="143"/>
      <c r="G2" s="160" t="s">
        <v>146</v>
      </c>
      <c r="H2" s="161" t="str">
        <f>Ballast!$I$2</f>
        <v>H</v>
      </c>
      <c r="I2" s="85"/>
      <c r="J2" s="85"/>
    </row>
    <row r="3" spans="1:19" customFormat="1" ht="15.75" customHeight="1" x14ac:dyDescent="0.25">
      <c r="C3" s="85"/>
      <c r="D3" s="85"/>
      <c r="E3" s="85"/>
      <c r="F3" s="143"/>
      <c r="G3" s="160" t="s">
        <v>1</v>
      </c>
      <c r="H3" s="162">
        <f>Ballast!$I$3</f>
        <v>44888</v>
      </c>
      <c r="I3" s="85"/>
      <c r="J3" s="85"/>
    </row>
    <row r="4" spans="1:19" customFormat="1" ht="15.75" customHeight="1" thickBot="1" x14ac:dyDescent="0.3">
      <c r="C4" s="85"/>
      <c r="D4" s="85"/>
      <c r="E4" s="85"/>
      <c r="F4" s="144"/>
      <c r="G4" s="163" t="s">
        <v>147</v>
      </c>
      <c r="H4" s="164">
        <f>Ballast!$I$4</f>
        <v>14841</v>
      </c>
      <c r="I4" s="85"/>
      <c r="J4" s="85"/>
      <c r="K4" s="85"/>
    </row>
    <row r="5" spans="1:19" customFormat="1" ht="9" customHeight="1" thickBot="1" x14ac:dyDescent="0.3">
      <c r="A5" s="153"/>
      <c r="B5" s="153"/>
      <c r="C5" s="153"/>
      <c r="D5" s="153"/>
      <c r="E5" s="153"/>
      <c r="F5" s="153"/>
      <c r="G5" s="153"/>
      <c r="H5" s="153"/>
      <c r="I5" s="153"/>
      <c r="J5" s="153"/>
      <c r="K5" s="153"/>
    </row>
    <row r="6" spans="1:19" ht="13" thickTop="1" x14ac:dyDescent="0.25"/>
    <row r="10" spans="1:19" s="416" customFormat="1" ht="43.15" customHeight="1" thickBot="1" x14ac:dyDescent="0.3">
      <c r="B10" s="417" t="s">
        <v>97</v>
      </c>
      <c r="C10" s="353" t="s">
        <v>321</v>
      </c>
      <c r="D10" s="353" t="s">
        <v>123</v>
      </c>
      <c r="E10" s="353" t="s">
        <v>132</v>
      </c>
      <c r="F10" s="353" t="s">
        <v>171</v>
      </c>
      <c r="G10" s="353" t="s">
        <v>323</v>
      </c>
      <c r="H10" s="353" t="s">
        <v>140</v>
      </c>
      <c r="I10" s="413" t="s">
        <v>189</v>
      </c>
      <c r="J10" s="413" t="s">
        <v>324</v>
      </c>
      <c r="K10" s="85"/>
      <c r="L10" s="85"/>
      <c r="M10" s="85"/>
      <c r="N10" s="85"/>
      <c r="O10" s="85"/>
      <c r="P10" s="85"/>
      <c r="Q10" s="85"/>
      <c r="R10" s="85"/>
      <c r="S10" s="85"/>
    </row>
    <row r="11" spans="1:19" ht="24.75" customHeight="1" x14ac:dyDescent="0.25">
      <c r="B11" s="346" t="s">
        <v>98</v>
      </c>
      <c r="C11" s="347">
        <f>52-E42</f>
        <v>42.521313916282672</v>
      </c>
      <c r="D11" s="348" t="s">
        <v>124</v>
      </c>
      <c r="E11" s="348" t="s">
        <v>133</v>
      </c>
      <c r="F11" s="348" t="s">
        <v>150</v>
      </c>
      <c r="G11" s="348" t="s">
        <v>137</v>
      </c>
      <c r="H11" s="348" t="s">
        <v>141</v>
      </c>
      <c r="I11" s="349" t="s">
        <v>190</v>
      </c>
      <c r="J11" s="349">
        <v>1.6</v>
      </c>
      <c r="M11" s="85" t="b">
        <v>1</v>
      </c>
    </row>
    <row r="12" spans="1:19" ht="30" customHeight="1" x14ac:dyDescent="0.25">
      <c r="B12" s="86" t="s">
        <v>99</v>
      </c>
      <c r="C12" s="100">
        <f>55.2-E44</f>
        <v>44.940789587109478</v>
      </c>
      <c r="D12" s="135" t="s">
        <v>125</v>
      </c>
      <c r="E12" s="135" t="s">
        <v>134</v>
      </c>
      <c r="F12" s="222" t="s">
        <v>172</v>
      </c>
      <c r="G12" s="135" t="s">
        <v>138</v>
      </c>
      <c r="H12" s="135" t="s">
        <v>142</v>
      </c>
      <c r="I12" s="294" t="s">
        <v>191</v>
      </c>
      <c r="J12" s="294">
        <v>1.5</v>
      </c>
    </row>
    <row r="13" spans="1:19" ht="24.75" customHeight="1" x14ac:dyDescent="0.25">
      <c r="B13" s="86" t="s">
        <v>151</v>
      </c>
      <c r="C13" s="377">
        <f>56.3-E42-E66*2</f>
        <v>8.2662241169817179</v>
      </c>
      <c r="D13" s="135"/>
      <c r="E13" s="135" t="s">
        <v>135</v>
      </c>
      <c r="F13" s="135"/>
      <c r="G13" s="135" t="s">
        <v>139</v>
      </c>
      <c r="H13" s="135"/>
      <c r="I13" s="294" t="s">
        <v>192</v>
      </c>
      <c r="J13" s="294">
        <v>2</v>
      </c>
    </row>
    <row r="14" spans="1:19" ht="24.75" customHeight="1" x14ac:dyDescent="0.25">
      <c r="B14" s="86" t="s">
        <v>100</v>
      </c>
      <c r="C14" s="377">
        <f>56.3-E73-E66*2</f>
        <v>7.3879930219714751</v>
      </c>
      <c r="D14" s="86"/>
      <c r="E14" s="135" t="s">
        <v>136</v>
      </c>
      <c r="F14" s="135"/>
      <c r="G14" s="135" t="s">
        <v>174</v>
      </c>
      <c r="H14" s="86"/>
      <c r="I14" s="294" t="s">
        <v>193</v>
      </c>
      <c r="J14" s="294">
        <v>2.2999999999999998</v>
      </c>
    </row>
    <row r="15" spans="1:19" ht="24.75" customHeight="1" x14ac:dyDescent="0.25">
      <c r="B15" s="135" t="s">
        <v>299</v>
      </c>
      <c r="C15" s="377">
        <f>10.51-0.21</f>
        <v>10.299999999999999</v>
      </c>
      <c r="D15" s="433" t="s">
        <v>296</v>
      </c>
      <c r="E15" s="135" t="s">
        <v>173</v>
      </c>
      <c r="F15" s="135"/>
      <c r="G15" s="135"/>
      <c r="H15" s="135"/>
      <c r="I15" s="295"/>
      <c r="J15" s="295"/>
    </row>
    <row r="16" spans="1:19" ht="24.75" customHeight="1" x14ac:dyDescent="0.25">
      <c r="B16" s="367" t="s">
        <v>300</v>
      </c>
      <c r="C16" s="444">
        <f>C15+0.098</f>
        <v>10.398</v>
      </c>
      <c r="D16" s="86"/>
      <c r="E16" s="86"/>
      <c r="F16" s="86"/>
      <c r="G16" s="86"/>
      <c r="H16" s="86"/>
      <c r="I16" s="295"/>
      <c r="J16" s="295"/>
    </row>
    <row r="17" spans="2:11" ht="24.75" customHeight="1" x14ac:dyDescent="0.25">
      <c r="B17" s="135" t="s">
        <v>301</v>
      </c>
      <c r="C17" s="366">
        <f>C16</f>
        <v>10.398</v>
      </c>
      <c r="D17" s="368"/>
      <c r="E17" s="368"/>
      <c r="F17" s="368"/>
      <c r="G17" s="368"/>
      <c r="H17" s="368"/>
      <c r="I17" s="369"/>
      <c r="J17" s="369"/>
    </row>
    <row r="18" spans="2:11" ht="24.75" customHeight="1" x14ac:dyDescent="0.25">
      <c r="B18" s="135"/>
      <c r="C18" s="377"/>
      <c r="D18" s="86"/>
      <c r="E18" s="86"/>
      <c r="F18" s="86"/>
      <c r="G18" s="86"/>
      <c r="H18" s="86"/>
      <c r="I18" s="295"/>
      <c r="J18" s="295"/>
    </row>
    <row r="19" spans="2:11" ht="24.75" customHeight="1" x14ac:dyDescent="0.25">
      <c r="E19" s="102"/>
      <c r="F19" s="102"/>
      <c r="G19" s="102"/>
      <c r="H19" s="102"/>
    </row>
    <row r="20" spans="2:11" ht="24.75" customHeight="1" x14ac:dyDescent="0.25">
      <c r="E20" s="102"/>
      <c r="F20" s="102"/>
      <c r="G20" s="102"/>
      <c r="H20" s="102"/>
    </row>
    <row r="21" spans="2:11" ht="24.75" customHeight="1" thickBot="1" x14ac:dyDescent="0.3">
      <c r="E21" s="102"/>
      <c r="F21" s="102"/>
      <c r="G21" s="102"/>
      <c r="H21" s="102"/>
    </row>
    <row r="22" spans="2:11" s="416" customFormat="1" ht="43.15" customHeight="1" thickBot="1" x14ac:dyDescent="0.3">
      <c r="B22" s="417" t="s">
        <v>97</v>
      </c>
      <c r="C22" s="413" t="s">
        <v>194</v>
      </c>
      <c r="D22" s="413" t="s">
        <v>195</v>
      </c>
      <c r="E22" s="413" t="s">
        <v>249</v>
      </c>
      <c r="F22" s="414" t="s">
        <v>259</v>
      </c>
      <c r="G22" s="415" t="s">
        <v>286</v>
      </c>
      <c r="H22" s="415" t="s">
        <v>287</v>
      </c>
      <c r="I22" s="415" t="s">
        <v>288</v>
      </c>
      <c r="J22" s="415" t="s">
        <v>297</v>
      </c>
      <c r="K22" s="415" t="s">
        <v>152</v>
      </c>
    </row>
    <row r="23" spans="2:11" ht="24.75" customHeight="1" x14ac:dyDescent="0.25">
      <c r="B23" s="346" t="s">
        <v>98</v>
      </c>
      <c r="C23" s="350" t="s">
        <v>251</v>
      </c>
      <c r="D23" s="351">
        <v>0</v>
      </c>
      <c r="E23" s="354" t="b">
        <v>0</v>
      </c>
      <c r="F23" s="330" t="s">
        <v>245</v>
      </c>
      <c r="G23" s="398" t="s">
        <v>285</v>
      </c>
      <c r="H23" s="398" t="s">
        <v>285</v>
      </c>
      <c r="I23" s="434" t="s">
        <v>285</v>
      </c>
      <c r="J23" s="354" t="b">
        <v>0</v>
      </c>
      <c r="K23" s="354" t="b">
        <v>0</v>
      </c>
    </row>
    <row r="24" spans="2:11" ht="30" customHeight="1" x14ac:dyDescent="0.25">
      <c r="B24" s="86" t="s">
        <v>99</v>
      </c>
      <c r="C24" s="296" t="s">
        <v>196</v>
      </c>
      <c r="D24" s="295">
        <v>0.43</v>
      </c>
      <c r="E24" s="397" t="s">
        <v>260</v>
      </c>
      <c r="F24" s="296" t="s">
        <v>258</v>
      </c>
      <c r="G24" s="374" t="s">
        <v>285</v>
      </c>
      <c r="H24" s="374" t="s">
        <v>285</v>
      </c>
      <c r="I24" s="435" t="s">
        <v>285</v>
      </c>
      <c r="J24" s="295"/>
      <c r="K24" s="295"/>
    </row>
    <row r="25" spans="2:11" ht="24.75" customHeight="1" x14ac:dyDescent="0.25">
      <c r="B25" s="86" t="s">
        <v>151</v>
      </c>
      <c r="C25" s="296" t="s">
        <v>197</v>
      </c>
      <c r="D25" s="295">
        <v>0.68</v>
      </c>
      <c r="E25" s="294" t="b">
        <v>0</v>
      </c>
      <c r="F25" s="295"/>
      <c r="G25" s="374">
        <v>2</v>
      </c>
      <c r="H25" s="380">
        <v>2.25</v>
      </c>
      <c r="I25" s="436">
        <v>2.75</v>
      </c>
      <c r="J25" s="295"/>
      <c r="K25" s="295"/>
    </row>
    <row r="26" spans="2:11" ht="24.75" customHeight="1" x14ac:dyDescent="0.25">
      <c r="B26" s="86" t="s">
        <v>100</v>
      </c>
      <c r="C26" s="296" t="s">
        <v>198</v>
      </c>
      <c r="D26" s="295">
        <v>0.43</v>
      </c>
      <c r="E26" s="374" t="s">
        <v>261</v>
      </c>
      <c r="F26" s="295"/>
      <c r="G26" s="374">
        <v>2.02</v>
      </c>
      <c r="H26" s="459" t="e">
        <v>#N/A</v>
      </c>
      <c r="I26" s="437">
        <v>3.25</v>
      </c>
      <c r="J26" s="295"/>
      <c r="K26" s="295"/>
    </row>
    <row r="27" spans="2:11" ht="24.75" customHeight="1" x14ac:dyDescent="0.25">
      <c r="B27" s="135" t="s">
        <v>299</v>
      </c>
      <c r="C27" s="296" t="s">
        <v>199</v>
      </c>
      <c r="D27" s="295">
        <v>0.43</v>
      </c>
      <c r="E27" s="295"/>
      <c r="F27" s="295"/>
      <c r="G27" s="374">
        <v>2.75</v>
      </c>
      <c r="H27" s="459">
        <v>1.5</v>
      </c>
      <c r="I27" s="437">
        <v>4</v>
      </c>
      <c r="J27" s="295"/>
      <c r="K27" s="295"/>
    </row>
    <row r="28" spans="2:11" ht="24.75" customHeight="1" x14ac:dyDescent="0.25">
      <c r="B28" s="367" t="s">
        <v>300</v>
      </c>
      <c r="C28" s="296" t="s">
        <v>250</v>
      </c>
      <c r="D28" s="296">
        <v>0.08</v>
      </c>
      <c r="E28" s="295"/>
      <c r="F28" s="295"/>
      <c r="G28" s="294">
        <v>2.7</v>
      </c>
      <c r="H28" s="294" t="e">
        <v>#N/A</v>
      </c>
      <c r="I28" s="438">
        <v>5.75</v>
      </c>
      <c r="J28" s="295"/>
      <c r="K28" s="295"/>
    </row>
    <row r="29" spans="2:11" ht="24.75" customHeight="1" x14ac:dyDescent="0.25">
      <c r="B29" s="135" t="s">
        <v>301</v>
      </c>
      <c r="C29" s="370"/>
      <c r="E29" s="369"/>
      <c r="F29" s="369"/>
      <c r="G29" s="294">
        <v>4.3600000000000003</v>
      </c>
      <c r="H29" s="374" t="e">
        <v>#N/A</v>
      </c>
      <c r="I29" s="435" t="s">
        <v>289</v>
      </c>
      <c r="J29" s="295"/>
      <c r="K29" s="295"/>
    </row>
    <row r="30" spans="2:11" ht="24.75" customHeight="1" x14ac:dyDescent="0.25">
      <c r="B30" s="135"/>
      <c r="C30" s="296"/>
      <c r="D30" s="295"/>
      <c r="E30" s="295"/>
      <c r="F30" s="295"/>
      <c r="G30" s="295"/>
      <c r="H30" s="295"/>
      <c r="I30" s="439"/>
      <c r="J30" s="295"/>
      <c r="K30" s="295"/>
    </row>
    <row r="31" spans="2:11" ht="24.75" customHeight="1" x14ac:dyDescent="0.25">
      <c r="C31" s="132"/>
      <c r="D31" s="132"/>
      <c r="E31" s="365"/>
      <c r="F31" s="132"/>
      <c r="G31" s="132"/>
      <c r="H31" s="132"/>
    </row>
    <row r="32" spans="2:11" ht="24.75" customHeight="1" x14ac:dyDescent="0.25">
      <c r="C32" s="132"/>
      <c r="D32" s="132"/>
      <c r="E32" s="365"/>
      <c r="F32" s="132"/>
      <c r="G32" s="132"/>
      <c r="H32" s="132"/>
    </row>
    <row r="33" spans="2:14" ht="24.75" customHeight="1" x14ac:dyDescent="0.25">
      <c r="E33" s="102"/>
      <c r="F33" s="102"/>
      <c r="G33" s="102"/>
      <c r="H33" s="102"/>
      <c r="I33" s="132"/>
      <c r="J33" s="132"/>
      <c r="K33" s="365"/>
      <c r="L33" s="132"/>
      <c r="M33" s="132"/>
      <c r="N33" s="132"/>
    </row>
    <row r="34" spans="2:14" ht="24.75" customHeight="1" x14ac:dyDescent="0.25">
      <c r="E34" s="102"/>
      <c r="F34" s="102"/>
      <c r="G34" s="102"/>
      <c r="H34" s="102"/>
      <c r="I34" s="132"/>
      <c r="J34" s="132"/>
      <c r="K34" s="365"/>
      <c r="L34" s="132"/>
      <c r="M34" s="132"/>
      <c r="N34" s="132"/>
    </row>
    <row r="35" spans="2:14" ht="24.75" customHeight="1" x14ac:dyDescent="0.25">
      <c r="E35" s="102"/>
      <c r="F35" s="102"/>
      <c r="G35" s="102"/>
      <c r="H35" s="102"/>
      <c r="I35" s="132"/>
      <c r="J35" s="132"/>
      <c r="K35" s="365"/>
      <c r="L35" s="132"/>
      <c r="M35" s="132"/>
      <c r="N35" s="132"/>
    </row>
    <row r="36" spans="2:14" ht="24.75" customHeight="1" x14ac:dyDescent="0.25">
      <c r="E36" s="102"/>
      <c r="F36" s="102"/>
      <c r="G36" s="102"/>
      <c r="H36" s="102"/>
      <c r="I36" s="132"/>
      <c r="J36" s="132"/>
      <c r="K36" s="365"/>
      <c r="L36" s="132"/>
      <c r="M36" s="132"/>
      <c r="N36" s="132"/>
    </row>
    <row r="37" spans="2:14" ht="24.75" customHeight="1" x14ac:dyDescent="0.25">
      <c r="E37" s="102"/>
      <c r="F37" s="102"/>
      <c r="G37" s="102"/>
      <c r="H37" s="102"/>
      <c r="I37" s="132"/>
      <c r="J37" s="132"/>
      <c r="K37" s="365"/>
      <c r="L37" s="132"/>
      <c r="M37" s="132"/>
      <c r="N37" s="132"/>
    </row>
    <row r="38" spans="2:14" ht="24.75" customHeight="1" x14ac:dyDescent="0.25">
      <c r="E38" s="102"/>
      <c r="F38" s="102"/>
      <c r="G38" s="102"/>
      <c r="H38" s="102"/>
      <c r="I38" s="132"/>
      <c r="J38" s="132"/>
      <c r="K38" s="365"/>
      <c r="L38" s="132"/>
      <c r="M38" s="132"/>
      <c r="N38" s="132"/>
    </row>
    <row r="39" spans="2:14" ht="24.75" customHeight="1" x14ac:dyDescent="0.25">
      <c r="E39" s="102"/>
      <c r="F39" s="102"/>
      <c r="G39" s="102"/>
      <c r="H39" s="102"/>
      <c r="I39" s="132"/>
      <c r="J39" s="132"/>
      <c r="K39" s="365"/>
      <c r="L39" s="132"/>
      <c r="M39" s="132"/>
      <c r="N39" s="132"/>
    </row>
    <row r="40" spans="2:14" ht="24.75" customHeight="1" x14ac:dyDescent="0.25">
      <c r="B40" s="537"/>
      <c r="C40" s="534" t="s">
        <v>322</v>
      </c>
      <c r="D40" s="533" t="s">
        <v>106</v>
      </c>
      <c r="E40" s="533"/>
      <c r="F40" s="533" t="s">
        <v>105</v>
      </c>
    </row>
    <row r="41" spans="2:14" ht="24.75" customHeight="1" thickBot="1" x14ac:dyDescent="0.3">
      <c r="B41" s="538"/>
      <c r="C41" s="535"/>
      <c r="D41" s="352" t="s">
        <v>102</v>
      </c>
      <c r="E41" s="371" t="s">
        <v>103</v>
      </c>
      <c r="F41" s="536"/>
      <c r="H41" s="136"/>
    </row>
    <row r="42" spans="2:14" ht="24.75" customHeight="1" x14ac:dyDescent="0.25">
      <c r="B42" s="89" t="s">
        <v>168</v>
      </c>
      <c r="C42" s="87">
        <v>10.5</v>
      </c>
      <c r="D42" s="205">
        <f>C42*(8.375/2)^2*PI()</f>
        <v>578.42733957276607</v>
      </c>
      <c r="E42" s="205">
        <f>D42/61.024</f>
        <v>9.4786860837173261</v>
      </c>
      <c r="F42" s="90" t="b">
        <v>1</v>
      </c>
    </row>
    <row r="43" spans="2:14" ht="24.75" customHeight="1" x14ac:dyDescent="0.25">
      <c r="B43" s="89" t="s">
        <v>169</v>
      </c>
      <c r="C43" s="87">
        <v>10</v>
      </c>
      <c r="D43" s="205">
        <f>C43*(8.375/2)^2*PI()</f>
        <v>550.88318054549143</v>
      </c>
      <c r="E43" s="205">
        <f t="shared" ref="E43:E49" si="0">D43/61.024</f>
        <v>9.0273200797307851</v>
      </c>
      <c r="F43" s="90" t="b">
        <v>1</v>
      </c>
    </row>
    <row r="44" spans="2:14" ht="24.75" customHeight="1" x14ac:dyDescent="0.25">
      <c r="B44" s="89" t="s">
        <v>166</v>
      </c>
      <c r="C44" s="87">
        <v>10.5</v>
      </c>
      <c r="D44" s="205">
        <f t="shared" ref="D44:D49" si="1">C44*(8.713/2)^2*PI()</f>
        <v>626.05805623623121</v>
      </c>
      <c r="E44" s="205">
        <f t="shared" si="0"/>
        <v>10.259210412890521</v>
      </c>
      <c r="F44" s="90" t="b">
        <v>1</v>
      </c>
    </row>
    <row r="45" spans="2:14" ht="24.75" customHeight="1" x14ac:dyDescent="0.25">
      <c r="B45" s="89" t="s">
        <v>165</v>
      </c>
      <c r="C45" s="87">
        <v>10</v>
      </c>
      <c r="D45" s="205">
        <f t="shared" si="1"/>
        <v>596.24576784402961</v>
      </c>
      <c r="E45" s="205">
        <f t="shared" si="0"/>
        <v>9.7706765837052565</v>
      </c>
      <c r="F45" s="90" t="b">
        <v>0</v>
      </c>
    </row>
    <row r="46" spans="2:14" ht="24.75" customHeight="1" x14ac:dyDescent="0.25">
      <c r="B46" s="88" t="s">
        <v>167</v>
      </c>
      <c r="C46" s="86">
        <v>14.85</v>
      </c>
      <c r="D46" s="205">
        <f t="shared" si="1"/>
        <v>885.42496524838407</v>
      </c>
      <c r="E46" s="205">
        <f t="shared" si="0"/>
        <v>14.509454726802309</v>
      </c>
      <c r="F46" s="91" t="b">
        <v>1</v>
      </c>
    </row>
    <row r="47" spans="2:14" ht="24.75" customHeight="1" x14ac:dyDescent="0.25">
      <c r="B47" s="88" t="s">
        <v>188</v>
      </c>
      <c r="C47" s="86">
        <v>5.75</v>
      </c>
      <c r="D47" s="205">
        <f t="shared" si="1"/>
        <v>342.84131651031709</v>
      </c>
      <c r="E47" s="205">
        <f t="shared" si="0"/>
        <v>5.6181390356305236</v>
      </c>
      <c r="F47" s="91" t="b">
        <v>0</v>
      </c>
    </row>
    <row r="48" spans="2:14" ht="24.75" customHeight="1" x14ac:dyDescent="0.25">
      <c r="B48" s="88" t="s">
        <v>187</v>
      </c>
      <c r="C48" s="86">
        <v>5.75</v>
      </c>
      <c r="D48" s="205">
        <f t="shared" si="1"/>
        <v>342.84131651031709</v>
      </c>
      <c r="E48" s="205">
        <f t="shared" si="0"/>
        <v>5.6181390356305236</v>
      </c>
      <c r="F48" s="91" t="b">
        <v>0</v>
      </c>
      <c r="I48" s="136"/>
    </row>
    <row r="49" spans="2:9" ht="24.75" customHeight="1" x14ac:dyDescent="0.25">
      <c r="B49" s="88" t="s">
        <v>200</v>
      </c>
      <c r="C49" s="86">
        <v>15.75</v>
      </c>
      <c r="D49" s="205">
        <f t="shared" si="1"/>
        <v>939.08708435434687</v>
      </c>
      <c r="E49" s="205">
        <f t="shared" si="0"/>
        <v>15.388815619335784</v>
      </c>
      <c r="F49" s="91" t="b">
        <v>1</v>
      </c>
      <c r="I49" s="136"/>
    </row>
    <row r="50" spans="2:9" ht="24.75" customHeight="1" x14ac:dyDescent="0.25">
      <c r="B50" s="88" t="s">
        <v>152</v>
      </c>
      <c r="C50" s="218" t="s">
        <v>150</v>
      </c>
      <c r="D50" s="219" t="s">
        <v>150</v>
      </c>
      <c r="E50" s="206">
        <v>0.432</v>
      </c>
      <c r="F50" s="217" t="b">
        <v>1</v>
      </c>
      <c r="I50" s="136"/>
    </row>
    <row r="51" spans="2:9" ht="24.75" customHeight="1" x14ac:dyDescent="0.25">
      <c r="B51" s="88" t="s">
        <v>179</v>
      </c>
      <c r="C51" s="218" t="s">
        <v>150</v>
      </c>
      <c r="D51" s="219" t="s">
        <v>150</v>
      </c>
      <c r="E51" s="206">
        <v>5.58</v>
      </c>
      <c r="F51" s="217" t="b">
        <v>0</v>
      </c>
      <c r="I51" s="136"/>
    </row>
    <row r="52" spans="2:9" ht="24.75" customHeight="1" x14ac:dyDescent="0.25">
      <c r="B52" s="88" t="s">
        <v>180</v>
      </c>
      <c r="C52" s="218" t="s">
        <v>150</v>
      </c>
      <c r="D52" s="219" t="s">
        <v>150</v>
      </c>
      <c r="E52" s="206">
        <v>1.48</v>
      </c>
      <c r="F52" s="217" t="b">
        <v>1</v>
      </c>
      <c r="I52" s="136"/>
    </row>
    <row r="53" spans="2:9" ht="17.5" customHeight="1" x14ac:dyDescent="0.25">
      <c r="B53" s="342"/>
      <c r="C53" s="343"/>
      <c r="D53" s="343"/>
      <c r="E53" s="343"/>
      <c r="F53" s="296"/>
      <c r="G53" s="132"/>
    </row>
    <row r="54" spans="2:9" ht="13" x14ac:dyDescent="0.25">
      <c r="B54" s="101"/>
      <c r="C54" s="102"/>
      <c r="D54" s="102"/>
      <c r="E54" s="102"/>
      <c r="F54" s="133"/>
      <c r="G54" s="132"/>
    </row>
    <row r="55" spans="2:9" ht="13" x14ac:dyDescent="0.25">
      <c r="B55" s="101"/>
      <c r="C55" s="102"/>
      <c r="D55" s="102"/>
      <c r="E55" s="102"/>
      <c r="F55" s="133"/>
      <c r="G55" s="132"/>
      <c r="I55" s="136"/>
    </row>
    <row r="56" spans="2:9" x14ac:dyDescent="0.25">
      <c r="B56" s="132" t="s">
        <v>280</v>
      </c>
      <c r="C56" s="132">
        <v>8.375</v>
      </c>
      <c r="D56" s="132"/>
      <c r="E56" s="132"/>
      <c r="F56" s="132"/>
      <c r="G56" s="132"/>
      <c r="I56" s="136"/>
    </row>
    <row r="57" spans="2:9" x14ac:dyDescent="0.25">
      <c r="B57" s="132" t="s">
        <v>281</v>
      </c>
      <c r="C57" s="132">
        <v>8.7129999999999992</v>
      </c>
      <c r="D57" s="132"/>
      <c r="E57" s="132"/>
      <c r="F57" s="132"/>
      <c r="G57" s="132"/>
    </row>
    <row r="58" spans="2:9" x14ac:dyDescent="0.25">
      <c r="B58" s="132"/>
      <c r="C58" s="132"/>
      <c r="D58" s="132"/>
      <c r="E58" s="132"/>
      <c r="F58" s="132"/>
      <c r="G58" s="132"/>
    </row>
    <row r="62" spans="2:9" ht="14" x14ac:dyDescent="0.25">
      <c r="B62" s="539"/>
      <c r="C62" s="534" t="s">
        <v>322</v>
      </c>
      <c r="D62" s="541" t="s">
        <v>106</v>
      </c>
      <c r="E62" s="541"/>
      <c r="F62" s="541" t="s">
        <v>105</v>
      </c>
    </row>
    <row r="63" spans="2:9" ht="14.5" thickBot="1" x14ac:dyDescent="0.3">
      <c r="B63" s="540"/>
      <c r="C63" s="535"/>
      <c r="D63" s="362" t="s">
        <v>102</v>
      </c>
      <c r="E63" s="363" t="s">
        <v>103</v>
      </c>
      <c r="F63" s="542"/>
    </row>
    <row r="64" spans="2:9" ht="19.149999999999999" customHeight="1" x14ac:dyDescent="0.25">
      <c r="B64" s="360" t="s">
        <v>263</v>
      </c>
      <c r="C64" s="361"/>
      <c r="D64" s="361">
        <f>C64*(8.375/2)^2*PI()</f>
        <v>0</v>
      </c>
      <c r="E64" s="361">
        <f>D64/61.024</f>
        <v>0</v>
      </c>
      <c r="F64" s="361"/>
      <c r="G64" s="136" t="s">
        <v>264</v>
      </c>
    </row>
    <row r="65" spans="2:11" ht="28.15" customHeight="1" x14ac:dyDescent="0.25">
      <c r="B65" s="331" t="s">
        <v>269</v>
      </c>
      <c r="C65" s="332">
        <f>Ballast!E20</f>
        <v>0</v>
      </c>
      <c r="D65" s="333">
        <f>C65*(8.713/2)^2*PI()</f>
        <v>0</v>
      </c>
      <c r="E65" s="333">
        <f>D65/61.024</f>
        <v>0</v>
      </c>
      <c r="F65" s="337"/>
    </row>
    <row r="66" spans="2:11" ht="19.149999999999999" customHeight="1" x14ac:dyDescent="0.25">
      <c r="B66" s="331" t="str">
        <f>"ASSY G-1405 (Standard G2 - " &amp; C66&amp; "'')"</f>
        <v>ASSY G-1405 (Standard G2 - 19.73'')</v>
      </c>
      <c r="C66" s="332">
        <v>19.73</v>
      </c>
      <c r="D66" s="333">
        <f>C66*(8.713/2)^2*PI()</f>
        <v>1176.3928999562706</v>
      </c>
      <c r="E66" s="333">
        <f>D66/61.024</f>
        <v>19.277544899650476</v>
      </c>
      <c r="F66" s="334" t="b">
        <v>0</v>
      </c>
    </row>
    <row r="67" spans="2:11" ht="22.15" customHeight="1" x14ac:dyDescent="0.25">
      <c r="B67" s="331" t="str">
        <f>"ASSY G-1405-L (Standard G3 - "&amp;C67&amp;"'')"</f>
        <v>ASSY G-1405-L (Standard G3 - 20.25'')</v>
      </c>
      <c r="C67" s="332">
        <v>20.25</v>
      </c>
      <c r="D67" s="333">
        <f t="shared" ref="D67:D78" si="2">C67*(8.713/2)^2*PI()</f>
        <v>1207.3976798841602</v>
      </c>
      <c r="E67" s="333">
        <f t="shared" ref="E67:E78" si="3">D67/61.024</f>
        <v>19.785620082003149</v>
      </c>
      <c r="F67" s="334" t="b">
        <v>1</v>
      </c>
    </row>
    <row r="68" spans="2:11" ht="22.15" customHeight="1" x14ac:dyDescent="0.25">
      <c r="B68" s="331" t="str">
        <f>"ASSY G-1405-3 ("&amp;C68&amp; "'')"</f>
        <v>ASSY G-1405-3 (21.75'')</v>
      </c>
      <c r="C68" s="332">
        <v>21.75</v>
      </c>
      <c r="D68" s="333">
        <f t="shared" si="2"/>
        <v>1296.8345450607644</v>
      </c>
      <c r="E68" s="333">
        <f t="shared" si="3"/>
        <v>21.251221569558933</v>
      </c>
      <c r="F68" s="337" t="b">
        <v>1</v>
      </c>
      <c r="G68" s="338"/>
      <c r="H68" s="339"/>
      <c r="I68" s="340"/>
      <c r="J68" s="340"/>
      <c r="K68" s="341"/>
    </row>
    <row r="69" spans="2:11" ht="23.5" customHeight="1" x14ac:dyDescent="0.25">
      <c r="B69" s="331" t="str">
        <f>"ASSY G-1405-5 ("&amp;C69&amp;"'')"</f>
        <v>ASSY G-1405-5 (24.63'')</v>
      </c>
      <c r="C69" s="332">
        <v>24.63</v>
      </c>
      <c r="D69" s="333">
        <f t="shared" si="2"/>
        <v>1468.5533261998451</v>
      </c>
      <c r="E69" s="333">
        <f>D69/61.024</f>
        <v>24.065176425666049</v>
      </c>
      <c r="F69" s="337" t="b">
        <v>1</v>
      </c>
    </row>
    <row r="70" spans="2:11" ht="23.5" customHeight="1" x14ac:dyDescent="0.25">
      <c r="B70" s="331" t="s">
        <v>268</v>
      </c>
      <c r="C70" s="332">
        <f>Ballast!E19</f>
        <v>0</v>
      </c>
      <c r="D70" s="333">
        <f>C70*(8.713/2)^2*PI()</f>
        <v>0</v>
      </c>
      <c r="E70" s="333">
        <f>D70/61.024</f>
        <v>0</v>
      </c>
      <c r="F70" s="337"/>
    </row>
    <row r="71" spans="2:11" ht="23.5" customHeight="1" x14ac:dyDescent="0.25">
      <c r="B71" s="359" t="s">
        <v>262</v>
      </c>
      <c r="C71" s="358">
        <v>10.5</v>
      </c>
      <c r="D71" s="358">
        <f>C71*(8.375/2)^2*PI()</f>
        <v>578.42733957276607</v>
      </c>
      <c r="E71" s="333">
        <f>D71/61.024</f>
        <v>9.4786860837173261</v>
      </c>
      <c r="F71" s="358"/>
      <c r="G71" s="136" t="s">
        <v>265</v>
      </c>
      <c r="H71" s="443" t="str">
        <f>"words" &amp; D69 &amp; "words"</f>
        <v>words1468.55332619985words</v>
      </c>
    </row>
    <row r="72" spans="2:11" ht="23.5" customHeight="1" x14ac:dyDescent="0.25">
      <c r="B72" s="331" t="s">
        <v>267</v>
      </c>
      <c r="C72" s="356">
        <f>Ballast!E21</f>
        <v>0</v>
      </c>
      <c r="D72" s="333">
        <f>C72*(8.713/2)^2*PI()</f>
        <v>0</v>
      </c>
      <c r="E72" s="333">
        <f>D72/61.024</f>
        <v>0</v>
      </c>
      <c r="F72" s="358"/>
    </row>
    <row r="73" spans="2:11" ht="18" customHeight="1" x14ac:dyDescent="0.25">
      <c r="B73" s="331" t="str">
        <f>"Standard PL Bay ("&amp;C73&amp;"'')"</f>
        <v>Standard PL Bay (10.6'')</v>
      </c>
      <c r="C73" s="332">
        <f>9.4+2*0.6</f>
        <v>10.6</v>
      </c>
      <c r="D73" s="333">
        <f t="shared" si="2"/>
        <v>632.02051391467148</v>
      </c>
      <c r="E73" s="333">
        <f t="shared" si="3"/>
        <v>10.356917178727574</v>
      </c>
      <c r="F73" s="334" t="b">
        <v>0</v>
      </c>
    </row>
    <row r="74" spans="2:11" ht="18" customHeight="1" x14ac:dyDescent="0.25">
      <c r="B74" s="335" t="s">
        <v>298</v>
      </c>
      <c r="C74" s="336">
        <f>9.4+0.6+0.8</f>
        <v>10.8</v>
      </c>
      <c r="D74" s="333">
        <f t="shared" si="2"/>
        <v>643.94542927155214</v>
      </c>
      <c r="E74" s="333">
        <f t="shared" si="3"/>
        <v>10.55233071040168</v>
      </c>
      <c r="F74" s="337" t="b">
        <v>0</v>
      </c>
    </row>
    <row r="75" spans="2:11" ht="25.15" customHeight="1" x14ac:dyDescent="0.25">
      <c r="B75" s="335" t="str">
        <f>"14'' Carbon MCBH PL Bay ("&amp;C75&amp;"'')"</f>
        <v>14'' Carbon MCBH PL Bay (15.4'')</v>
      </c>
      <c r="C75" s="336">
        <f>14+0.6+0.8</f>
        <v>15.4</v>
      </c>
      <c r="D75" s="333">
        <f t="shared" si="2"/>
        <v>918.21848247980574</v>
      </c>
      <c r="E75" s="333">
        <f t="shared" si="3"/>
        <v>15.046841938906098</v>
      </c>
      <c r="F75" s="337" t="b">
        <v>0</v>
      </c>
    </row>
    <row r="76" spans="2:11" ht="27.65" customHeight="1" x14ac:dyDescent="0.25">
      <c r="B76" s="335" t="str">
        <f>"Energy Bay ("&amp;C76&amp;"'')"</f>
        <v>Energy Bay (15.2'')</v>
      </c>
      <c r="C76" s="336">
        <f>14+2*0.6</f>
        <v>15.2</v>
      </c>
      <c r="D76" s="333">
        <f t="shared" si="2"/>
        <v>906.29356712292508</v>
      </c>
      <c r="E76" s="333">
        <f t="shared" si="3"/>
        <v>14.851428407231992</v>
      </c>
      <c r="F76" s="337" t="b">
        <v>0</v>
      </c>
    </row>
    <row r="77" spans="2:11" ht="18.649999999999999" customHeight="1" x14ac:dyDescent="0.25">
      <c r="B77" s="335" t="str">
        <f>"Half Stack ("&amp;C77&amp;"'')"</f>
        <v>Half Stack (6.9'')</v>
      </c>
      <c r="C77" s="336">
        <f>5.7+2*0.6</f>
        <v>6.9</v>
      </c>
      <c r="D77" s="333">
        <f t="shared" si="2"/>
        <v>411.40957981238051</v>
      </c>
      <c r="E77" s="333">
        <f t="shared" si="3"/>
        <v>6.7417668427566291</v>
      </c>
      <c r="F77" s="337" t="b">
        <v>0</v>
      </c>
    </row>
    <row r="78" spans="2:11" ht="14" x14ac:dyDescent="0.25">
      <c r="B78" s="335" t="s">
        <v>251</v>
      </c>
      <c r="C78" s="336"/>
      <c r="D78" s="333">
        <f t="shared" si="2"/>
        <v>0</v>
      </c>
      <c r="E78" s="333">
        <f t="shared" si="3"/>
        <v>0</v>
      </c>
      <c r="F78" s="337" t="b">
        <v>1</v>
      </c>
    </row>
    <row r="79" spans="2:11" x14ac:dyDescent="0.25">
      <c r="B79" s="136"/>
    </row>
    <row r="81" spans="2:6" ht="13" thickBot="1" x14ac:dyDescent="0.3"/>
    <row r="82" spans="2:6" ht="16" thickBot="1" x14ac:dyDescent="0.3">
      <c r="B82" s="372"/>
      <c r="C82" s="372" t="s">
        <v>305</v>
      </c>
      <c r="D82" s="373" t="s">
        <v>266</v>
      </c>
      <c r="E82" s="392" t="s">
        <v>279</v>
      </c>
    </row>
    <row r="83" spans="2:6" ht="15.5" x14ac:dyDescent="0.25">
      <c r="B83" s="399" t="s">
        <v>283</v>
      </c>
      <c r="C83" s="409"/>
      <c r="D83" s="410"/>
      <c r="E83" s="330">
        <v>1.83</v>
      </c>
      <c r="F83" s="85" t="s">
        <v>282</v>
      </c>
    </row>
    <row r="84" spans="2:6" ht="15.5" x14ac:dyDescent="0.25">
      <c r="B84" s="406" t="s">
        <v>284</v>
      </c>
      <c r="C84" s="411"/>
      <c r="D84" s="412"/>
      <c r="E84" s="296">
        <f>VLOOKUP(Ballast!D18,Constants!B13:O17,14,FALSE)*-1</f>
        <v>0</v>
      </c>
    </row>
    <row r="85" spans="2:6" ht="15.5" x14ac:dyDescent="0.25">
      <c r="B85" s="405" t="s">
        <v>152</v>
      </c>
      <c r="C85" s="400">
        <f>IF(D85=TRUE,0.432,0)</f>
        <v>0</v>
      </c>
      <c r="D85" s="354">
        <f>S11</f>
        <v>0</v>
      </c>
      <c r="E85" s="354"/>
    </row>
    <row r="86" spans="2:6" ht="15.5" x14ac:dyDescent="0.25">
      <c r="B86" s="405" t="s">
        <v>179</v>
      </c>
      <c r="C86" s="401">
        <f>IF(D86=TRUE,5.58,0)</f>
        <v>0</v>
      </c>
      <c r="D86" s="295" t="b">
        <v>0</v>
      </c>
      <c r="E86" s="295"/>
    </row>
    <row r="87" spans="2:6" ht="15.5" x14ac:dyDescent="0.25">
      <c r="B87" s="405" t="s">
        <v>180</v>
      </c>
      <c r="C87" s="401">
        <f>IF(D87=TRUE,1.48,0)</f>
        <v>0</v>
      </c>
      <c r="D87" s="295" t="b">
        <v>0</v>
      </c>
      <c r="E87" s="295"/>
    </row>
    <row r="88" spans="2:6" ht="15.5" x14ac:dyDescent="0.25">
      <c r="B88" s="405" t="s">
        <v>297</v>
      </c>
      <c r="C88" s="400">
        <f>IF(R11=TRUE,0.21,0)</f>
        <v>0</v>
      </c>
      <c r="D88" s="295">
        <f>R11</f>
        <v>0</v>
      </c>
      <c r="E88" s="295"/>
    </row>
    <row r="89" spans="2:6" ht="15.5" x14ac:dyDescent="0.25">
      <c r="B89" s="406" t="s">
        <v>248</v>
      </c>
      <c r="C89" s="402">
        <f>IF(D89=TRUE,0.04822,0)</f>
        <v>0</v>
      </c>
      <c r="D89" s="295" t="b">
        <v>0</v>
      </c>
      <c r="E89" s="295"/>
    </row>
    <row r="90" spans="2:6" ht="15.5" x14ac:dyDescent="0.25">
      <c r="B90" s="407" t="s">
        <v>194</v>
      </c>
      <c r="C90" s="402">
        <f>IF(Ballast!D27=Constants!K11,Constants!L11,IF(Ballast!D27=Constants!K12,Constants!L12,IF(Ballast!D27=Constants!K13,Constants!L13,IF(Ballast!D27=Constants!K14,Constants!L14,IF(Ballast!D27=Constants!K15,Constants!L15,IF(Ballast!D27=Constants!K16,Constants!L16,))))))</f>
        <v>0</v>
      </c>
      <c r="D90" s="374" t="s">
        <v>150</v>
      </c>
      <c r="E90" s="295"/>
    </row>
    <row r="91" spans="2:6" ht="15.5" x14ac:dyDescent="0.25">
      <c r="B91" s="407" t="s">
        <v>249</v>
      </c>
      <c r="C91" s="402">
        <f>IF(M11=TRUE,0.17,IF(M13=TRUE,0.057,0))</f>
        <v>0.17</v>
      </c>
      <c r="D91" s="374" t="s">
        <v>150</v>
      </c>
      <c r="E91" s="295"/>
    </row>
    <row r="92" spans="2:6" ht="15.5" x14ac:dyDescent="0.25">
      <c r="B92" s="406" t="s">
        <v>252</v>
      </c>
      <c r="C92" s="403">
        <f>IF(Ballast!D19=Constants!B64,Constants!E64,IF(Ballast!D19=Constants!B66,Constants!E66,IF(Ballast!D19=Constants!B67,Constants!E67,IF(Ballast!D19=Constants!B68,Constants!E68,IF(Ballast!D19=Constants!B69,Constants!E69,IF(Ballast!D19=Constants!B70,Constants!E70,0))))))</f>
        <v>19.785620082003149</v>
      </c>
      <c r="D92" s="374" t="s">
        <v>150</v>
      </c>
      <c r="E92" s="295">
        <f>C92/2</f>
        <v>9.8928100410015745</v>
      </c>
    </row>
    <row r="93" spans="2:6" ht="15.5" x14ac:dyDescent="0.25">
      <c r="B93" s="406" t="s">
        <v>253</v>
      </c>
      <c r="C93" s="403">
        <f>IF(Ballast!D20=Constants!B64,Constants!E64,IF(Ballast!D20=Constants!B66,Constants!E66,IF(Ballast!D20=Constants!B67,Constants!E67,IF(Ballast!D20=Constants!B68,Constants!E68,IF(Ballast!D20=Constants!B69,Constants!E69,IF(Ballast!D20=Constants!B65,Constants!E65,0))))))</f>
        <v>21.251221569558933</v>
      </c>
      <c r="D93" s="374" t="s">
        <v>150</v>
      </c>
      <c r="E93" s="295">
        <f t="shared" ref="E93:E95" si="4">C93/2</f>
        <v>10.625610784779466</v>
      </c>
    </row>
    <row r="94" spans="2:6" ht="15.5" x14ac:dyDescent="0.25">
      <c r="B94" s="406" t="s">
        <v>254</v>
      </c>
      <c r="C94" s="403">
        <f>VLOOKUP(Ballast!D21,B71:E78,4,FALSE)</f>
        <v>10.55233071040168</v>
      </c>
      <c r="D94" s="374" t="s">
        <v>150</v>
      </c>
      <c r="E94" s="295">
        <f t="shared" si="4"/>
        <v>5.2761653552008401</v>
      </c>
    </row>
    <row r="95" spans="2:6" ht="16" thickBot="1" x14ac:dyDescent="0.3">
      <c r="B95" s="408" t="s">
        <v>255</v>
      </c>
      <c r="C95" s="404">
        <f>VLOOKUP(Ballast!D22,Constants!B71:E78,4,FALSE)-IF(Ballast!D22&lt;&gt;"None",(0.6*(8.713/2)^2*PI())/61.024,0)+IF(Ballast!D22=B72,(0.6*(8.713/2)^2*PI())/61.024,0)</f>
        <v>14.265187812209676</v>
      </c>
      <c r="D95" s="394" t="s">
        <v>150</v>
      </c>
      <c r="E95" s="369">
        <f t="shared" si="4"/>
        <v>7.1325939061048382</v>
      </c>
    </row>
    <row r="96" spans="2:6" ht="16" thickBot="1" x14ac:dyDescent="0.3">
      <c r="B96" s="345" t="s">
        <v>256</v>
      </c>
      <c r="C96" s="395">
        <f>SUMIF(C85:C95,"&lt;&gt;#N/A")</f>
        <v>66.024360174173438</v>
      </c>
      <c r="D96" s="393"/>
      <c r="E96" s="392">
        <f>SUMIF(E83:E95,"&lt;&gt;#N/A")</f>
        <v>34.757180087086716</v>
      </c>
    </row>
    <row r="98" spans="2:15" x14ac:dyDescent="0.25">
      <c r="B98" s="365"/>
      <c r="C98" s="357"/>
      <c r="D98" s="357"/>
      <c r="E98" s="357"/>
    </row>
    <row r="100" spans="2:15" x14ac:dyDescent="0.25">
      <c r="B100" s="136" t="s">
        <v>290</v>
      </c>
      <c r="F100" s="132"/>
      <c r="G100" s="132"/>
      <c r="H100" s="132"/>
      <c r="I100" s="132"/>
      <c r="J100" s="132"/>
    </row>
    <row r="101" spans="2:15" x14ac:dyDescent="0.25">
      <c r="B101" s="136" t="s">
        <v>292</v>
      </c>
      <c r="C101" s="136" t="s">
        <v>294</v>
      </c>
      <c r="D101" s="136" t="s">
        <v>293</v>
      </c>
      <c r="E101" s="136" t="s">
        <v>307</v>
      </c>
      <c r="F101" s="132"/>
      <c r="G101" s="132"/>
      <c r="H101" s="132"/>
      <c r="I101" s="132"/>
      <c r="J101" s="132"/>
    </row>
    <row r="102" spans="2:15" x14ac:dyDescent="0.25">
      <c r="B102" s="136" t="s">
        <v>291</v>
      </c>
      <c r="C102" s="136" t="s">
        <v>293</v>
      </c>
      <c r="D102" s="136" t="s">
        <v>294</v>
      </c>
      <c r="E102" s="136" t="s">
        <v>306</v>
      </c>
      <c r="F102" s="132"/>
      <c r="G102" s="132"/>
      <c r="H102" s="132"/>
      <c r="I102" s="132"/>
      <c r="J102" s="132"/>
    </row>
    <row r="103" spans="2:15" ht="13" x14ac:dyDescent="0.25">
      <c r="F103" s="101"/>
      <c r="G103" s="101"/>
      <c r="H103" s="101"/>
      <c r="I103" s="101"/>
      <c r="J103" s="102"/>
    </row>
    <row r="104" spans="2:15" x14ac:dyDescent="0.25">
      <c r="B104" s="132" t="str">
        <f>IF(Ballast!D22&lt;&gt;B78,Constants!B101,Constants!B102)</f>
        <v>W/ Secondary Bay</v>
      </c>
      <c r="C104" s="132"/>
      <c r="D104" s="132"/>
      <c r="E104" s="132"/>
      <c r="F104" s="357"/>
      <c r="G104" s="357"/>
      <c r="H104" s="357"/>
      <c r="I104" s="357"/>
      <c r="J104" s="102"/>
    </row>
    <row r="105" spans="2:15" x14ac:dyDescent="0.25">
      <c r="F105" s="357"/>
      <c r="G105" s="357"/>
      <c r="H105" s="357"/>
      <c r="I105" s="357"/>
      <c r="J105" s="102"/>
    </row>
    <row r="106" spans="2:15" x14ac:dyDescent="0.25">
      <c r="F106" s="357"/>
      <c r="G106" s="357"/>
      <c r="H106" s="357"/>
      <c r="I106" s="357"/>
      <c r="J106" s="102"/>
    </row>
    <row r="107" spans="2:15" x14ac:dyDescent="0.25">
      <c r="F107" s="357"/>
      <c r="G107" s="357"/>
      <c r="H107" s="357"/>
      <c r="I107" s="357"/>
      <c r="J107" s="357"/>
    </row>
    <row r="108" spans="2:15" x14ac:dyDescent="0.25">
      <c r="F108" s="357"/>
      <c r="G108" s="357"/>
      <c r="H108" s="357"/>
      <c r="I108" s="357"/>
      <c r="J108" s="357"/>
    </row>
    <row r="109" spans="2:15" x14ac:dyDescent="0.25">
      <c r="F109" s="357"/>
      <c r="G109" s="357"/>
      <c r="H109" s="357"/>
      <c r="I109" s="357"/>
      <c r="J109" s="357"/>
    </row>
    <row r="112" spans="2:15" ht="22.5" customHeight="1" x14ac:dyDescent="0.25">
      <c r="B112" s="132"/>
      <c r="C112" s="136"/>
      <c r="E112" s="102"/>
      <c r="F112" s="102"/>
      <c r="G112" s="132"/>
      <c r="H112" s="132"/>
      <c r="I112" s="132"/>
      <c r="J112" s="132"/>
      <c r="K112" s="132"/>
      <c r="L112" s="132"/>
      <c r="M112" s="132"/>
      <c r="N112" s="132"/>
      <c r="O112" s="132"/>
    </row>
  </sheetData>
  <mergeCells count="8">
    <mergeCell ref="D40:E40"/>
    <mergeCell ref="C40:C41"/>
    <mergeCell ref="F40:F41"/>
    <mergeCell ref="B40:B41"/>
    <mergeCell ref="B62:B63"/>
    <mergeCell ref="C62:C63"/>
    <mergeCell ref="D62:E62"/>
    <mergeCell ref="F62:F63"/>
  </mergeCells>
  <conditionalFormatting sqref="E23 E25">
    <cfRule type="expression" dxfId="4" priority="1">
      <formula>IF(AND($M$11="TRUE",$M$13="TRUE"),1,0)</formula>
    </cfRule>
  </conditionalFormatting>
  <pageMargins left="0.7" right="0.7" top="0.75" bottom="0.75" header="0.3" footer="0.3"/>
  <pageSetup scale="36" orientation="landscape" r:id="rId1"/>
  <headerFooter>
    <oddHeader xml:space="preserve">&amp;C&amp;F&amp;L
</oddHeader>
    <oddFooter xml:space="preserve">&amp;C&amp;A&amp;L
</oddFooter>
  </headerFooter>
  <rowBreaks count="2" manualBreakCount="2">
    <brk id="39" max="10" man="1"/>
    <brk id="111" max="16383" man="1"/>
  </rowBreaks>
  <colBreaks count="1" manualBreakCount="1">
    <brk id="11" max="117" man="1"/>
  </colBreaks>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pageSetUpPr fitToPage="1"/>
  </sheetPr>
  <dimension ref="A1:O97"/>
  <sheetViews>
    <sheetView workbookViewId="0">
      <selection activeCell="F15" sqref="F15"/>
    </sheetView>
  </sheetViews>
  <sheetFormatPr defaultColWidth="9.1796875" defaultRowHeight="12.5" x14ac:dyDescent="0.25"/>
  <cols>
    <col min="1" max="1" width="27.7265625" style="25" customWidth="1"/>
    <col min="2" max="2" width="20.1796875" style="25" customWidth="1"/>
    <col min="3" max="3" width="21.1796875" style="25" customWidth="1"/>
    <col min="4" max="5" width="16.26953125" style="25" customWidth="1"/>
    <col min="6" max="6" width="81.81640625" style="31" customWidth="1"/>
    <col min="7" max="7" width="22.453125" style="25" customWidth="1"/>
    <col min="8" max="8" width="19.453125" style="25" customWidth="1"/>
    <col min="9" max="9" width="23.1796875" style="25" customWidth="1"/>
    <col min="10" max="10" width="20.54296875" style="25" customWidth="1"/>
    <col min="11" max="11" width="14.453125" style="25" customWidth="1"/>
    <col min="12" max="12" width="11.54296875" style="25" customWidth="1"/>
    <col min="13" max="16384" width="9.1796875" style="25"/>
  </cols>
  <sheetData>
    <row r="1" spans="1:7" customFormat="1" ht="20.25" customHeight="1" x14ac:dyDescent="0.25">
      <c r="A1" s="25"/>
      <c r="B1" s="25"/>
      <c r="C1" s="197"/>
      <c r="D1" s="158" t="s">
        <v>145</v>
      </c>
      <c r="E1" s="159" t="str">
        <f>Ballast!$I$1</f>
        <v>4095-GBPSH</v>
      </c>
      <c r="G1" s="301"/>
    </row>
    <row r="2" spans="1:7" customFormat="1" ht="20.25" customHeight="1" x14ac:dyDescent="0.25">
      <c r="A2" s="25"/>
      <c r="B2" s="25"/>
      <c r="C2" s="197"/>
      <c r="D2" s="160" t="s">
        <v>146</v>
      </c>
      <c r="E2" s="161" t="str">
        <f>Ballast!$I$2</f>
        <v>H</v>
      </c>
      <c r="G2" s="301"/>
    </row>
    <row r="3" spans="1:7" customFormat="1" ht="20.25" customHeight="1" x14ac:dyDescent="0.25">
      <c r="A3" s="25"/>
      <c r="B3" s="25"/>
      <c r="C3" s="197"/>
      <c r="D3" s="160" t="s">
        <v>1</v>
      </c>
      <c r="E3" s="162">
        <f>Ballast!$I$3</f>
        <v>44888</v>
      </c>
    </row>
    <row r="4" spans="1:7" customFormat="1" ht="20.25" customHeight="1" thickBot="1" x14ac:dyDescent="0.3">
      <c r="A4" s="545" t="str">
        <f>IF(Ballast!D18&lt;&gt;"","","Please Select Glider Type in Ballast Sheet")</f>
        <v/>
      </c>
      <c r="B4" s="545"/>
      <c r="C4" s="546"/>
      <c r="D4" s="163" t="s">
        <v>147</v>
      </c>
      <c r="E4" s="164">
        <f>Ballast!$I$4</f>
        <v>14841</v>
      </c>
    </row>
    <row r="5" spans="1:7" customFormat="1" ht="5.25" customHeight="1" thickBot="1" x14ac:dyDescent="0.45">
      <c r="A5" s="304"/>
      <c r="B5" s="304"/>
      <c r="C5" s="305"/>
      <c r="D5" s="302"/>
      <c r="E5" s="303"/>
    </row>
    <row r="6" spans="1:7" customFormat="1" ht="15.75" customHeight="1" thickTop="1" x14ac:dyDescent="0.3">
      <c r="A6" s="155" t="s">
        <v>34</v>
      </c>
      <c r="B6" s="375" t="str">
        <f>IF(ISBLANK(Ballast!D15),"",Ballast!D15)</f>
        <v>amlr05</v>
      </c>
      <c r="C6" s="549" t="str">
        <f>IF(Ballast!D18=Constants!B11,"",IF(Ballast!D18=Constants!B12,"","Wrong Generation Glider Selected"))</f>
        <v>Wrong Generation Glider Selected</v>
      </c>
      <c r="D6" s="195"/>
      <c r="E6" s="195"/>
    </row>
    <row r="7" spans="1:7" ht="13.5" thickBot="1" x14ac:dyDescent="0.35">
      <c r="A7" s="156" t="s">
        <v>1</v>
      </c>
      <c r="B7" s="376">
        <f>IF(ISBLANK(Ballast!D17),"",Ballast!D17)</f>
        <v>46293</v>
      </c>
      <c r="C7" s="550"/>
    </row>
    <row r="9" spans="1:7" x14ac:dyDescent="0.25">
      <c r="A9" s="32"/>
      <c r="C9" s="78"/>
      <c r="D9" s="78"/>
      <c r="E9" s="78"/>
    </row>
    <row r="10" spans="1:7" x14ac:dyDescent="0.25">
      <c r="A10" s="32"/>
      <c r="C10" s="78"/>
      <c r="D10" s="78"/>
      <c r="E10" s="78"/>
    </row>
    <row r="11" spans="1:7" x14ac:dyDescent="0.25">
      <c r="A11" s="32"/>
      <c r="C11" s="78"/>
      <c r="D11" s="78"/>
      <c r="E11" s="78"/>
    </row>
    <row r="12" spans="1:7" x14ac:dyDescent="0.25">
      <c r="A12" s="32"/>
      <c r="C12" s="78"/>
      <c r="D12" s="78"/>
      <c r="E12" s="78"/>
    </row>
    <row r="13" spans="1:7" x14ac:dyDescent="0.25">
      <c r="A13" s="32"/>
      <c r="C13" s="78"/>
      <c r="D13" s="78"/>
      <c r="E13" s="78"/>
    </row>
    <row r="14" spans="1:7" x14ac:dyDescent="0.25">
      <c r="A14" s="32"/>
      <c r="C14" s="78"/>
      <c r="D14" s="78"/>
      <c r="E14" s="78"/>
    </row>
    <row r="15" spans="1:7" ht="13" x14ac:dyDescent="0.3">
      <c r="A15" s="547" t="s">
        <v>154</v>
      </c>
      <c r="B15" s="547"/>
      <c r="C15" s="547"/>
      <c r="D15" s="547"/>
      <c r="E15" s="78"/>
    </row>
    <row r="16" spans="1:7" ht="13" thickBot="1" x14ac:dyDescent="0.3">
      <c r="A16" s="32"/>
    </row>
    <row r="17" spans="1:12" ht="13" x14ac:dyDescent="0.3">
      <c r="A17" s="33" t="s">
        <v>55</v>
      </c>
      <c r="B17" s="34"/>
      <c r="C17" s="34"/>
      <c r="D17" s="35"/>
    </row>
    <row r="18" spans="1:12" ht="13" x14ac:dyDescent="0.3">
      <c r="A18" s="171"/>
      <c r="B18" s="37" t="s">
        <v>44</v>
      </c>
      <c r="C18" s="73">
        <v>0</v>
      </c>
      <c r="D18" s="38" t="s">
        <v>8</v>
      </c>
      <c r="E18" s="173" t="str">
        <f>IF(C18&gt;5000,"Error: scale reading too high",IF(C18&lt;0,"Error: scale reading should be positive",""))</f>
        <v/>
      </c>
    </row>
    <row r="19" spans="1:12" ht="13" x14ac:dyDescent="0.3">
      <c r="A19" s="174"/>
      <c r="B19" s="40" t="s">
        <v>45</v>
      </c>
      <c r="C19" s="73">
        <v>0</v>
      </c>
      <c r="D19" s="38" t="s">
        <v>8</v>
      </c>
      <c r="E19" s="173" t="str">
        <f>IF(C19&gt;5000,"Error: scale reading too high",IF(C19&lt;0,"Error: scale reading should be positive",""))</f>
        <v/>
      </c>
    </row>
    <row r="20" spans="1:12" x14ac:dyDescent="0.25">
      <c r="A20" s="174"/>
      <c r="B20" s="40" t="s">
        <v>46</v>
      </c>
      <c r="C20" s="308">
        <f>Ballast!H46</f>
        <v>-978.46065047594232</v>
      </c>
      <c r="D20" s="38" t="s">
        <v>8</v>
      </c>
      <c r="E20" s="78"/>
    </row>
    <row r="21" spans="1:12" ht="13" x14ac:dyDescent="0.3">
      <c r="A21" s="176"/>
      <c r="B21" s="42" t="str">
        <f>IF((C18+C19-C20)&gt;0,"Total weight to remove:","Total weight to add:")</f>
        <v>Total weight to remove:</v>
      </c>
      <c r="C21" s="307">
        <f>ABS(C18+C19-C20)</f>
        <v>978.46065047594232</v>
      </c>
      <c r="D21" s="43" t="s">
        <v>8</v>
      </c>
      <c r="E21" s="78"/>
    </row>
    <row r="22" spans="1:12" x14ac:dyDescent="0.25">
      <c r="A22" s="174"/>
      <c r="B22" s="178"/>
      <c r="C22" s="179"/>
      <c r="D22" s="172"/>
      <c r="E22" s="78"/>
      <c r="I22" s="28"/>
      <c r="J22" s="28"/>
      <c r="K22" s="28"/>
    </row>
    <row r="23" spans="1:12" x14ac:dyDescent="0.25">
      <c r="A23" s="39"/>
      <c r="B23" s="45" t="s">
        <v>43</v>
      </c>
      <c r="C23" s="46" t="s">
        <v>47</v>
      </c>
      <c r="D23" s="172"/>
      <c r="E23" s="78"/>
      <c r="I23" s="28"/>
      <c r="J23" s="28"/>
      <c r="K23" s="28"/>
    </row>
    <row r="24" spans="1:12" x14ac:dyDescent="0.25">
      <c r="A24" s="39"/>
      <c r="B24" s="47" t="s">
        <v>60</v>
      </c>
      <c r="C24" s="47" t="s">
        <v>60</v>
      </c>
      <c r="D24" s="172"/>
      <c r="E24" s="78"/>
      <c r="I24" s="28"/>
      <c r="J24" s="28"/>
      <c r="K24" s="28"/>
    </row>
    <row r="25" spans="1:12" x14ac:dyDescent="0.25">
      <c r="A25" s="48" t="s">
        <v>38</v>
      </c>
      <c r="B25" s="306" t="str">
        <f>IF(Ballast!D18="G1 Shallow (200m)",1,IF(Ballast!D18="G1 Deep (1000m)",1,""))</f>
        <v/>
      </c>
      <c r="C25" s="180" t="e">
        <f>B25-$C$31</f>
        <v>#VALUE!</v>
      </c>
      <c r="D25" s="172"/>
      <c r="E25" s="78" t="str">
        <f>IF(B25&lt;-10,"Error: Check scale position",IF(B25&gt;30, "Error, check scale position",""))</f>
        <v>Error, check scale position</v>
      </c>
      <c r="I25" s="28"/>
      <c r="J25" s="28"/>
      <c r="K25" s="28"/>
    </row>
    <row r="26" spans="1:12" x14ac:dyDescent="0.25">
      <c r="A26" s="48" t="s">
        <v>39</v>
      </c>
      <c r="B26" s="306" t="str">
        <f>IF(Ballast!D18="G1 Shallow (200m)",47,IF(Ballast!D18="G1 Deep (1000m)",47.5,""))</f>
        <v/>
      </c>
      <c r="C26" s="180" t="e">
        <f>B26-$C$31</f>
        <v>#VALUE!</v>
      </c>
      <c r="D26" s="172"/>
      <c r="E26" s="78" t="str">
        <f>IF(B26&lt;20,"Error: Check scale position",IF(B26&gt;70, "Error, check scale position",""))</f>
        <v>Error, check scale position</v>
      </c>
      <c r="I26" s="28"/>
      <c r="J26" s="28"/>
      <c r="K26" s="28"/>
    </row>
    <row r="27" spans="1:12" x14ac:dyDescent="0.25">
      <c r="A27" s="39"/>
      <c r="B27" s="181"/>
      <c r="C27" s="178"/>
      <c r="D27" s="172"/>
      <c r="E27" s="78"/>
      <c r="L27" s="28"/>
    </row>
    <row r="28" spans="1:12" ht="13.5" thickBot="1" x14ac:dyDescent="0.35">
      <c r="A28" s="49"/>
      <c r="B28" s="50" t="s">
        <v>68</v>
      </c>
      <c r="C28" s="167" t="e">
        <f>(C18*C25)+(C19*C26)</f>
        <v>#VALUE!</v>
      </c>
      <c r="D28" s="51" t="s">
        <v>35</v>
      </c>
      <c r="E28" s="78"/>
      <c r="J28" s="28"/>
      <c r="L28" s="28"/>
    </row>
    <row r="29" spans="1:12" ht="13" thickBot="1" x14ac:dyDescent="0.3">
      <c r="A29" s="178"/>
      <c r="B29" s="183"/>
      <c r="C29" s="178"/>
      <c r="D29" s="178"/>
      <c r="E29" s="178"/>
      <c r="F29" s="52" t="s">
        <v>74</v>
      </c>
      <c r="J29" s="28"/>
    </row>
    <row r="30" spans="1:12" ht="13" x14ac:dyDescent="0.3">
      <c r="A30" s="53" t="s">
        <v>41</v>
      </c>
      <c r="B30" s="34"/>
      <c r="C30" s="169"/>
      <c r="D30" s="170"/>
      <c r="E30" s="178"/>
      <c r="F30" s="31" t="s">
        <v>56</v>
      </c>
      <c r="J30" s="28"/>
    </row>
    <row r="31" spans="1:12" x14ac:dyDescent="0.25">
      <c r="A31" s="39"/>
      <c r="B31" s="54" t="s">
        <v>40</v>
      </c>
      <c r="C31" s="396" t="str">
        <f>IF(Ballast!D18="G1 Shallow (200m)",22.7,IF(Ballast!D18="G1 Deep (1000m)",23,"Wrong Glider Selected"))</f>
        <v>Wrong Glider Selected</v>
      </c>
      <c r="D31" s="184"/>
      <c r="E31" s="178"/>
      <c r="F31" s="31" t="s">
        <v>42</v>
      </c>
      <c r="J31" s="28"/>
    </row>
    <row r="32" spans="1:12" ht="13" thickBot="1" x14ac:dyDescent="0.3">
      <c r="A32" s="39"/>
      <c r="B32" s="28"/>
      <c r="C32" s="178"/>
      <c r="D32" s="172"/>
      <c r="E32" s="178"/>
      <c r="F32" s="31" t="s">
        <v>62</v>
      </c>
      <c r="J32" s="28"/>
    </row>
    <row r="33" spans="1:10" x14ac:dyDescent="0.25">
      <c r="A33" s="55" t="s">
        <v>210</v>
      </c>
      <c r="B33" s="55" t="s">
        <v>216</v>
      </c>
      <c r="C33" s="55" t="s">
        <v>61</v>
      </c>
      <c r="D33" s="172"/>
      <c r="E33" s="178"/>
      <c r="F33" s="31" t="s">
        <v>80</v>
      </c>
      <c r="J33" s="28"/>
    </row>
    <row r="34" spans="1:10" ht="13" thickBot="1" x14ac:dyDescent="0.3">
      <c r="A34" s="56"/>
      <c r="B34" s="56" t="s">
        <v>60</v>
      </c>
      <c r="C34" s="56" t="s">
        <v>60</v>
      </c>
      <c r="D34" s="172"/>
      <c r="E34" s="178"/>
      <c r="F34" s="31" t="s">
        <v>81</v>
      </c>
      <c r="J34" s="28"/>
    </row>
    <row r="35" spans="1:10" x14ac:dyDescent="0.25">
      <c r="A35" s="192" t="s">
        <v>221</v>
      </c>
      <c r="B35" s="420" t="str">
        <f>IF(Ballast!D18="G1 Shallow (200m)",2,IF(Ballast!D18="G1 Deep (1000m)",2,""))</f>
        <v/>
      </c>
      <c r="C35" s="424" t="e">
        <f t="shared" ref="C35:C42" si="0">B35-C$31</f>
        <v>#VALUE!</v>
      </c>
      <c r="D35" s="172"/>
      <c r="E35" s="178"/>
      <c r="J35" s="28"/>
    </row>
    <row r="36" spans="1:10" x14ac:dyDescent="0.25">
      <c r="A36" s="193" t="str">
        <f>IF(Ballast!D18="G1 Shallow (200m)","Forward Bottom",IF(Ballast!D18="G1 Deep (1000m)","Unused",""))</f>
        <v/>
      </c>
      <c r="B36" s="421" t="str">
        <f>IF(Ballast!D18="G1 Shallow (200m)",3.5,IF(Ballast!D18="G1 Deep (1000m)",99999,""))</f>
        <v/>
      </c>
      <c r="C36" s="425" t="e">
        <f t="shared" si="0"/>
        <v>#VALUE!</v>
      </c>
      <c r="D36" s="172"/>
      <c r="E36" s="178"/>
      <c r="F36" s="25"/>
      <c r="J36" s="28"/>
    </row>
    <row r="37" spans="1:10" x14ac:dyDescent="0.25">
      <c r="A37" s="193" t="s">
        <v>217</v>
      </c>
      <c r="B37" s="421" t="str">
        <f>IF(Ballast!D18="G1 Shallow (200m)",20.125,IF(Ballast!D18="G1 Deep (1000m)",20.375,""))</f>
        <v/>
      </c>
      <c r="C37" s="425" t="e">
        <f t="shared" si="0"/>
        <v>#VALUE!</v>
      </c>
      <c r="D37" s="172"/>
      <c r="E37" s="178"/>
      <c r="J37" s="28"/>
    </row>
    <row r="38" spans="1:10" x14ac:dyDescent="0.25">
      <c r="A38" s="193" t="s">
        <v>218</v>
      </c>
      <c r="B38" s="422" t="str">
        <f>IF(Ballast!D18="G1 Shallow (200m)",22,IF(Ballast!D18="G1 Deep (1000m)",22.125,""))</f>
        <v/>
      </c>
      <c r="C38" s="425" t="e">
        <f t="shared" si="0"/>
        <v>#VALUE!</v>
      </c>
      <c r="D38" s="172"/>
      <c r="E38" s="178"/>
      <c r="J38" s="28"/>
    </row>
    <row r="39" spans="1:10" x14ac:dyDescent="0.25">
      <c r="A39" s="193" t="s">
        <v>48</v>
      </c>
      <c r="B39" s="422" t="str">
        <f>$C$31</f>
        <v>Wrong Glider Selected</v>
      </c>
      <c r="C39" s="425" t="e">
        <f t="shared" si="0"/>
        <v>#VALUE!</v>
      </c>
      <c r="D39" s="172"/>
      <c r="E39" s="178"/>
      <c r="J39" s="28"/>
    </row>
    <row r="40" spans="1:10" x14ac:dyDescent="0.25">
      <c r="A40" s="193" t="s">
        <v>219</v>
      </c>
      <c r="B40" s="422" t="str">
        <f>IF(Ballast!D18="G1 Shallow (200m)",26,IF(Ballast!D18="G1 Deep (1000m)",26.5,""))</f>
        <v/>
      </c>
      <c r="C40" s="425" t="e">
        <f t="shared" si="0"/>
        <v>#VALUE!</v>
      </c>
      <c r="D40" s="172"/>
      <c r="E40" s="178"/>
      <c r="J40" s="28"/>
    </row>
    <row r="41" spans="1:10" x14ac:dyDescent="0.25">
      <c r="A41" s="193" t="s">
        <v>220</v>
      </c>
      <c r="B41" s="421" t="str">
        <f>IF(Ballast!D18="G1 Shallow (200m)",27+15/16,IF(Ballast!D18="G1 Deep (1000m)",28.375,""))</f>
        <v/>
      </c>
      <c r="C41" s="425" t="e">
        <f t="shared" si="0"/>
        <v>#VALUE!</v>
      </c>
      <c r="D41" s="172"/>
      <c r="E41" s="178"/>
      <c r="J41" s="28"/>
    </row>
    <row r="42" spans="1:10" ht="13" thickBot="1" x14ac:dyDescent="0.3">
      <c r="A42" s="194" t="s">
        <v>36</v>
      </c>
      <c r="B42" s="423" t="str">
        <f>IF(Ballast!D18="G1 Shallow (200m)",46.875,IF(Ballast!D18="G1 Deep (1000m)",47.5,""))</f>
        <v/>
      </c>
      <c r="C42" s="426" t="e">
        <f t="shared" si="0"/>
        <v>#VALUE!</v>
      </c>
      <c r="D42" s="185"/>
      <c r="E42" s="178"/>
      <c r="J42" s="28"/>
    </row>
    <row r="43" spans="1:10" ht="13" thickBot="1" x14ac:dyDescent="0.3">
      <c r="A43" s="78"/>
      <c r="B43" s="78"/>
      <c r="C43" s="78"/>
      <c r="D43" s="78"/>
      <c r="E43" s="78"/>
      <c r="J43" s="28"/>
    </row>
    <row r="44" spans="1:10" ht="13" x14ac:dyDescent="0.3">
      <c r="A44" s="53" t="s">
        <v>209</v>
      </c>
      <c r="B44" s="169"/>
      <c r="C44" s="169"/>
      <c r="D44" s="170"/>
      <c r="E44" s="78"/>
      <c r="J44" s="28"/>
    </row>
    <row r="45" spans="1:10" ht="13" thickBot="1" x14ac:dyDescent="0.3">
      <c r="A45" s="174"/>
      <c r="B45" s="178"/>
      <c r="C45" s="178"/>
      <c r="D45" s="172"/>
      <c r="E45" s="78"/>
      <c r="J45" s="28"/>
    </row>
    <row r="46" spans="1:10" ht="27.75" customHeight="1" x14ac:dyDescent="0.25">
      <c r="A46" s="55" t="s">
        <v>69</v>
      </c>
      <c r="B46" s="55" t="s">
        <v>53</v>
      </c>
      <c r="C46" s="34" t="s">
        <v>208</v>
      </c>
      <c r="D46" s="154" t="s">
        <v>222</v>
      </c>
      <c r="E46" s="55" t="s">
        <v>82</v>
      </c>
      <c r="J46" s="28"/>
    </row>
    <row r="47" spans="1:10" ht="13" thickBot="1" x14ac:dyDescent="0.3">
      <c r="A47" s="58" t="s">
        <v>70</v>
      </c>
      <c r="B47" s="56"/>
      <c r="C47" s="59" t="s">
        <v>58</v>
      </c>
      <c r="D47" s="58" t="s">
        <v>59</v>
      </c>
      <c r="E47" s="276" t="s">
        <v>214</v>
      </c>
      <c r="J47" s="28"/>
    </row>
    <row r="48" spans="1:10" ht="13" x14ac:dyDescent="0.25">
      <c r="A48" s="75">
        <v>1</v>
      </c>
      <c r="B48" s="60" t="str">
        <f t="shared" ref="B48:B55" si="1">A35</f>
        <v>Forward Top</v>
      </c>
      <c r="C48" s="76">
        <v>0</v>
      </c>
      <c r="D48" s="196" t="e">
        <f t="shared" ref="D48:D55" si="2">C35*C48</f>
        <v>#VALUE!</v>
      </c>
      <c r="E48" s="277"/>
      <c r="F48" s="82" t="str">
        <f t="shared" ref="F48:F56" si="3">IF(ABS(C48)&gt;5000,"Error: Weight adjustment too high","")</f>
        <v/>
      </c>
      <c r="J48" s="28"/>
    </row>
    <row r="49" spans="1:10" ht="13" x14ac:dyDescent="0.25">
      <c r="A49" s="76" t="str">
        <f>IF(A36="Forward Bottom",1,IF(A36="Unused",0,""))</f>
        <v/>
      </c>
      <c r="B49" s="60" t="str">
        <f t="shared" si="1"/>
        <v/>
      </c>
      <c r="C49" s="76">
        <v>0</v>
      </c>
      <c r="D49" s="186" t="e">
        <f t="shared" si="2"/>
        <v>#VALUE!</v>
      </c>
      <c r="E49" s="278"/>
      <c r="F49" s="82" t="str">
        <f t="shared" si="3"/>
        <v/>
      </c>
      <c r="J49" s="28"/>
    </row>
    <row r="50" spans="1:10" ht="13" x14ac:dyDescent="0.25">
      <c r="A50" s="76">
        <v>1</v>
      </c>
      <c r="B50" s="60" t="str">
        <f t="shared" si="1"/>
        <v>Sci Fwd Bottles</v>
      </c>
      <c r="C50" s="76">
        <v>0</v>
      </c>
      <c r="D50" s="186" t="e">
        <f t="shared" si="2"/>
        <v>#VALUE!</v>
      </c>
      <c r="E50" s="278"/>
      <c r="F50" s="82" t="str">
        <f t="shared" si="3"/>
        <v/>
      </c>
      <c r="J50" s="28"/>
    </row>
    <row r="51" spans="1:10" ht="13" x14ac:dyDescent="0.25">
      <c r="A51" s="76">
        <v>1</v>
      </c>
      <c r="B51" s="60" t="str">
        <f t="shared" si="1"/>
        <v>Sci Fwd Disc</v>
      </c>
      <c r="C51" s="76">
        <v>0</v>
      </c>
      <c r="D51" s="186" t="e">
        <f t="shared" si="2"/>
        <v>#VALUE!</v>
      </c>
      <c r="E51" s="278"/>
      <c r="F51" s="82" t="str">
        <f t="shared" si="3"/>
        <v/>
      </c>
      <c r="J51" s="28"/>
    </row>
    <row r="52" spans="1:10" ht="13" x14ac:dyDescent="0.25">
      <c r="A52" s="76">
        <v>1</v>
      </c>
      <c r="B52" s="60" t="str">
        <f t="shared" si="1"/>
        <v>Center</v>
      </c>
      <c r="C52" s="76">
        <v>0</v>
      </c>
      <c r="D52" s="186" t="e">
        <f t="shared" si="2"/>
        <v>#VALUE!</v>
      </c>
      <c r="E52" s="278"/>
      <c r="F52" s="82" t="str">
        <f t="shared" si="3"/>
        <v/>
      </c>
      <c r="J52" s="28"/>
    </row>
    <row r="53" spans="1:10" ht="13" x14ac:dyDescent="0.25">
      <c r="A53" s="76">
        <v>1</v>
      </c>
      <c r="B53" s="60" t="str">
        <f t="shared" si="1"/>
        <v>Sci Aft Disc</v>
      </c>
      <c r="C53" s="76">
        <v>0</v>
      </c>
      <c r="D53" s="186" t="e">
        <f t="shared" si="2"/>
        <v>#VALUE!</v>
      </c>
      <c r="E53" s="278"/>
      <c r="F53" s="82" t="str">
        <f t="shared" si="3"/>
        <v/>
      </c>
      <c r="J53" s="28"/>
    </row>
    <row r="54" spans="1:10" ht="13" x14ac:dyDescent="0.25">
      <c r="A54" s="76">
        <v>1</v>
      </c>
      <c r="B54" s="60" t="str">
        <f t="shared" si="1"/>
        <v>Sci Aft Bottles</v>
      </c>
      <c r="C54" s="76">
        <v>0</v>
      </c>
      <c r="D54" s="186" t="e">
        <f t="shared" si="2"/>
        <v>#VALUE!</v>
      </c>
      <c r="E54" s="278"/>
      <c r="F54" s="82" t="str">
        <f t="shared" si="3"/>
        <v/>
      </c>
      <c r="J54" s="28"/>
    </row>
    <row r="55" spans="1:10" ht="13.5" thickBot="1" x14ac:dyDescent="0.3">
      <c r="A55" s="77">
        <v>1</v>
      </c>
      <c r="B55" s="56" t="str">
        <f t="shared" si="1"/>
        <v>Aft</v>
      </c>
      <c r="C55" s="77">
        <v>0</v>
      </c>
      <c r="D55" s="187" t="e">
        <f t="shared" si="2"/>
        <v>#VALUE!</v>
      </c>
      <c r="E55" s="279"/>
      <c r="F55" s="82" t="str">
        <f t="shared" si="3"/>
        <v/>
      </c>
      <c r="J55" s="28"/>
    </row>
    <row r="56" spans="1:10" ht="13.5" thickBot="1" x14ac:dyDescent="0.35">
      <c r="A56" s="182"/>
      <c r="B56" s="188"/>
      <c r="C56" s="167">
        <f>SUM(C48:C55)</f>
        <v>0</v>
      </c>
      <c r="D56" s="189" t="e">
        <f>SUM(D48:D55)</f>
        <v>#VALUE!</v>
      </c>
      <c r="E56" s="78"/>
      <c r="F56" s="82" t="str">
        <f t="shared" si="3"/>
        <v/>
      </c>
      <c r="J56" s="28"/>
    </row>
    <row r="57" spans="1:10" ht="13.5" customHeight="1" thickBot="1" x14ac:dyDescent="0.3">
      <c r="A57" s="78"/>
      <c r="B57" s="78"/>
      <c r="C57" s="78"/>
      <c r="D57" s="78"/>
      <c r="E57" s="78"/>
    </row>
    <row r="58" spans="1:10" ht="13.5" customHeight="1" x14ac:dyDescent="0.3">
      <c r="A58" s="53" t="s">
        <v>54</v>
      </c>
      <c r="B58" s="34"/>
      <c r="C58" s="34"/>
      <c r="D58" s="35"/>
      <c r="E58" s="28"/>
      <c r="F58" s="61"/>
      <c r="G58" s="26"/>
    </row>
    <row r="59" spans="1:10" ht="13.5" customHeight="1" x14ac:dyDescent="0.3">
      <c r="A59" s="39"/>
      <c r="B59" s="62">
        <f>ABS((C18+C19-C20)+C56)</f>
        <v>978.46065047594232</v>
      </c>
      <c r="C59" s="29" t="str">
        <f>IF(((C18+C19-C20)+C56)&gt;=0,"additional grams need to be removed", "additional grams need to be added")</f>
        <v>additional grams need to be removed</v>
      </c>
      <c r="D59" s="38"/>
      <c r="E59" s="28"/>
      <c r="F59" s="52"/>
      <c r="G59" s="29"/>
      <c r="I59" s="63"/>
    </row>
    <row r="60" spans="1:10" ht="13.5" customHeight="1" x14ac:dyDescent="0.25">
      <c r="A60" s="39"/>
      <c r="B60" s="44" t="e">
        <f>ABS((C28+D56)/(B71-B70))</f>
        <v>#VALUE!</v>
      </c>
      <c r="C60" s="44" t="e">
        <f>CONCATENATE("Grams need to move from ",IF((C28+D56)&lt;=0,INDEX(A35:A42,B67,1),INDEX(A35:A42,B68,1))," to ",IF((C28+D56)&lt;=0,INDEX(A35:A42,B68,1),INDEX(A35:A42,B67,1)))</f>
        <v>#VALUE!</v>
      </c>
      <c r="D60" s="38"/>
      <c r="E60" s="28"/>
      <c r="F60" s="52"/>
      <c r="G60" s="28"/>
    </row>
    <row r="61" spans="1:10" ht="13.5" customHeight="1" x14ac:dyDescent="0.25">
      <c r="A61" s="39"/>
      <c r="B61" s="44" t="e">
        <f>INDEX(C48:C55,IF(A48,1,IF(A49,2,IF(A50,3,IF(A51,4,IF(A52,5,IF(A53,6,IF(A54,7,"Error"))))))))+(C28+D56)/(INDEX(C35:C42,IF(A55,8,IF(A54,7,IF(A53,6,IF(A52,5,IF(A51,4,IF(A50,3,IF(A49,2,"error"))))))))-INDEX(C35:C42,IF(A48,1,IF(A49,2,IF(A50,3,IF(A51,4,IF(A52,5,IF(A53,6,IF(A54,7,"Error")))))))))</f>
        <v>#VALUE!</v>
      </c>
      <c r="C61" s="64" t="str">
        <f>CONCATENATE("Change ",INDEX(A35:A42,B67,1)," to this:")</f>
        <v>Change Forward Top to this:</v>
      </c>
      <c r="D61" s="38"/>
      <c r="E61" s="28"/>
      <c r="F61" s="52" t="s">
        <v>77</v>
      </c>
      <c r="G61" s="28"/>
    </row>
    <row r="62" spans="1:10" ht="13.5" customHeight="1" thickBot="1" x14ac:dyDescent="0.3">
      <c r="A62" s="49"/>
      <c r="B62" s="65" t="e">
        <f>INDEX(C48:C55,IF(A55,8,IF(A54,7,IF(A53,6,IF(A52,5,IF(A51,4,IF(A50,3,IF(A49,2,"error"))))))))-((C28+D56)/(INDEX(C35:C42,IF(A55,8,IF(A54,7,IF(A53,6,IF(A52,5,IF(A51,4,IF(A50,3,IF(A49,2,"error"))))))))-INDEX(C35:C42,IF(A48,1,IF(A49,2,IF(A50,3,IF(A51,4,IF(A52,5,IF(A53,6,IF(A54,7,"Error"))))))))))</f>
        <v>#VALUE!</v>
      </c>
      <c r="C62" s="66" t="str">
        <f>CONCATENATE("Change ",INDEX(A35:A42,B68,1)," to this:")</f>
        <v>Change Aft to this:</v>
      </c>
      <c r="D62" s="57"/>
      <c r="E62" s="28"/>
      <c r="F62" s="52" t="s">
        <v>78</v>
      </c>
      <c r="G62" s="28"/>
    </row>
    <row r="63" spans="1:10" ht="13.5" customHeight="1" x14ac:dyDescent="0.25">
      <c r="A63" s="28"/>
      <c r="B63" s="44"/>
      <c r="C63" s="64"/>
      <c r="D63" s="275"/>
      <c r="E63" s="28"/>
      <c r="F63" s="52"/>
      <c r="G63" s="28"/>
    </row>
    <row r="64" spans="1:10" ht="22.5" customHeight="1" x14ac:dyDescent="0.25">
      <c r="A64" s="28"/>
      <c r="B64" s="44"/>
      <c r="C64" s="64"/>
      <c r="D64" s="28"/>
      <c r="E64" s="28"/>
      <c r="F64" s="52"/>
      <c r="G64" s="28"/>
    </row>
    <row r="65" spans="1:15" s="4" customFormat="1" ht="17.25" customHeight="1" x14ac:dyDescent="0.3">
      <c r="A65" s="1"/>
      <c r="B65" s="1"/>
      <c r="C65" s="1"/>
      <c r="D65" s="1"/>
      <c r="E65" s="1"/>
      <c r="F65" s="2"/>
      <c r="G65" s="3"/>
    </row>
    <row r="66" spans="1:15" s="10" customFormat="1" ht="30" hidden="1" customHeight="1" x14ac:dyDescent="0.3">
      <c r="A66" s="5" t="s">
        <v>57</v>
      </c>
      <c r="B66" s="6"/>
      <c r="C66" s="6"/>
      <c r="D66" s="7"/>
      <c r="E66" s="4"/>
      <c r="F66" s="8"/>
      <c r="G66" s="9"/>
    </row>
    <row r="67" spans="1:15" s="10" customFormat="1" ht="25.5" hidden="1" customHeight="1" x14ac:dyDescent="0.3">
      <c r="A67" s="11"/>
      <c r="B67" s="12">
        <f>IF(A48,1,IF(A49,2,IF(A50,3,IF(A51,4,IF(A52,5,IF(A53,6,IF(A54,7,"Error")))))))</f>
        <v>1</v>
      </c>
      <c r="C67" s="12" t="s">
        <v>49</v>
      </c>
      <c r="D67" s="13"/>
      <c r="E67" s="4"/>
      <c r="F67" s="8"/>
      <c r="G67" s="9"/>
    </row>
    <row r="68" spans="1:15" s="10" customFormat="1" ht="25.5" hidden="1" customHeight="1" x14ac:dyDescent="0.3">
      <c r="A68" s="11"/>
      <c r="B68" s="12">
        <f>IF(A55,8,IF(A54,7,IF(A53,6,IF(A52,5,IF(A51,4,IF(A50,3,IF(A49,2,"error")))))))</f>
        <v>8</v>
      </c>
      <c r="C68" s="12" t="s">
        <v>50</v>
      </c>
      <c r="D68" s="13"/>
      <c r="E68" s="4"/>
      <c r="F68" s="8"/>
      <c r="G68" s="9"/>
    </row>
    <row r="69" spans="1:15" s="16" customFormat="1" ht="29.25" hidden="1" customHeight="1" x14ac:dyDescent="0.2">
      <c r="A69" s="14"/>
      <c r="B69" s="12"/>
      <c r="C69" s="12"/>
      <c r="D69" s="15"/>
      <c r="F69" s="17"/>
    </row>
    <row r="70" spans="1:15" s="10" customFormat="1" ht="27.75" hidden="1" customHeight="1" x14ac:dyDescent="0.25">
      <c r="A70" s="11"/>
      <c r="B70" s="12" t="e">
        <f>INDEX(C35:C42,IF(A48,1,IF(A49,2,IF(A50,3,IF(A51,4,IF(A52,5,IF(A53,6,IF(A54,7,"Error"))))))))</f>
        <v>#VALUE!</v>
      </c>
      <c r="C70" s="12" t="s">
        <v>51</v>
      </c>
      <c r="D70" s="18"/>
      <c r="E70" s="19"/>
      <c r="F70" s="20"/>
      <c r="G70" s="19"/>
      <c r="H70" s="19"/>
      <c r="I70" s="19"/>
      <c r="J70" s="19"/>
      <c r="K70" s="19"/>
    </row>
    <row r="71" spans="1:15" s="10" customFormat="1" ht="31.5" hidden="1" customHeight="1" thickBot="1" x14ac:dyDescent="0.4">
      <c r="A71" s="21"/>
      <c r="B71" s="22" t="e">
        <f>INDEX(C35:C42,IF(A55,8,IF(A54,7,IF(A53,6,IF(A52,5,IF(A51,4,IF(A50,3,IF(A49,2,"error"))))))))</f>
        <v>#VALUE!</v>
      </c>
      <c r="C71" s="22" t="s">
        <v>52</v>
      </c>
      <c r="D71" s="23"/>
      <c r="E71" s="19"/>
      <c r="F71" s="20"/>
      <c r="G71" s="19"/>
      <c r="H71" s="19"/>
      <c r="I71" s="19"/>
      <c r="J71" s="19"/>
      <c r="K71" s="24"/>
    </row>
    <row r="72" spans="1:15" s="27" customFormat="1" ht="15" customHeight="1" x14ac:dyDescent="0.25">
      <c r="F72" s="67"/>
    </row>
    <row r="73" spans="1:15" s="27" customFormat="1" ht="25.5" customHeight="1" x14ac:dyDescent="0.25">
      <c r="A73" s="31" t="s">
        <v>75</v>
      </c>
      <c r="F73" s="67"/>
    </row>
    <row r="74" spans="1:15" s="70" customFormat="1" ht="30.75" customHeight="1" x14ac:dyDescent="0.3">
      <c r="A74" s="548" t="s">
        <v>76</v>
      </c>
      <c r="B74" s="548"/>
      <c r="C74" s="548"/>
      <c r="D74" s="548"/>
      <c r="E74" s="68"/>
      <c r="F74" s="69"/>
    </row>
    <row r="75" spans="1:15" s="299" customFormat="1" ht="73.5" customHeight="1" x14ac:dyDescent="0.25">
      <c r="A75" s="543" t="s">
        <v>160</v>
      </c>
      <c r="B75" s="543"/>
      <c r="C75" s="543"/>
      <c r="D75" s="543"/>
      <c r="F75" s="300"/>
    </row>
    <row r="76" spans="1:15" s="299" customFormat="1" ht="78" customHeight="1" x14ac:dyDescent="0.25">
      <c r="A76" s="543" t="s">
        <v>161</v>
      </c>
      <c r="B76" s="543"/>
      <c r="C76" s="543"/>
      <c r="D76" s="543"/>
      <c r="F76" s="300"/>
      <c r="H76" s="71"/>
      <c r="I76" s="71"/>
      <c r="J76" s="71"/>
      <c r="K76" s="71"/>
      <c r="L76" s="71"/>
      <c r="M76" s="71"/>
      <c r="N76" s="71"/>
      <c r="O76" s="71"/>
    </row>
    <row r="77" spans="1:15" s="299" customFormat="1" ht="78.75" customHeight="1" x14ac:dyDescent="0.25">
      <c r="A77" s="543" t="s">
        <v>162</v>
      </c>
      <c r="B77" s="543"/>
      <c r="C77" s="543"/>
      <c r="D77" s="543"/>
      <c r="F77" s="300"/>
      <c r="H77" s="71"/>
      <c r="I77" s="71"/>
      <c r="J77" s="71"/>
      <c r="K77" s="71"/>
      <c r="L77" s="71"/>
      <c r="M77" s="71"/>
      <c r="N77" s="71"/>
      <c r="O77" s="71"/>
    </row>
    <row r="78" spans="1:15" s="299" customFormat="1" ht="126" customHeight="1" x14ac:dyDescent="0.25">
      <c r="A78" s="543" t="s">
        <v>163</v>
      </c>
      <c r="B78" s="543"/>
      <c r="C78" s="543"/>
      <c r="D78" s="543"/>
      <c r="F78" s="300"/>
      <c r="H78" s="71"/>
      <c r="I78" s="71"/>
      <c r="J78" s="71"/>
      <c r="K78" s="71"/>
      <c r="L78" s="71"/>
      <c r="M78" s="71"/>
      <c r="N78" s="71"/>
      <c r="O78" s="71"/>
    </row>
    <row r="79" spans="1:15" s="299" customFormat="1" ht="60.75" customHeight="1" x14ac:dyDescent="0.25">
      <c r="A79" s="543" t="s">
        <v>164</v>
      </c>
      <c r="B79" s="543"/>
      <c r="C79" s="543"/>
      <c r="D79" s="543"/>
      <c r="E79" s="71"/>
      <c r="F79" s="300"/>
      <c r="H79" s="71"/>
      <c r="I79" s="71"/>
      <c r="J79" s="71"/>
      <c r="K79" s="71"/>
      <c r="L79" s="71"/>
      <c r="M79" s="71"/>
      <c r="N79" s="71"/>
      <c r="O79" s="71"/>
    </row>
    <row r="80" spans="1:15" ht="34.5" customHeight="1" x14ac:dyDescent="0.25">
      <c r="A80" s="544" t="s">
        <v>79</v>
      </c>
      <c r="B80" s="544"/>
      <c r="C80" s="544"/>
      <c r="D80" s="544"/>
      <c r="E80" s="28"/>
      <c r="F80" s="52"/>
      <c r="G80" s="28"/>
      <c r="H80" s="28"/>
      <c r="I80" s="28"/>
      <c r="J80" s="28"/>
      <c r="K80" s="28"/>
      <c r="L80" s="28"/>
      <c r="M80" s="28"/>
      <c r="N80" s="28"/>
      <c r="O80" s="28"/>
    </row>
    <row r="81" spans="1:15" x14ac:dyDescent="0.25">
      <c r="A81" s="28"/>
      <c r="B81" s="28"/>
      <c r="C81" s="72"/>
      <c r="D81" s="44"/>
      <c r="E81" s="28"/>
      <c r="F81" s="52"/>
      <c r="G81" s="28"/>
      <c r="H81" s="28"/>
      <c r="I81" s="28"/>
      <c r="J81" s="28"/>
      <c r="K81" s="28"/>
      <c r="L81" s="28"/>
      <c r="M81" s="28"/>
      <c r="N81" s="28"/>
      <c r="O81" s="28"/>
    </row>
    <row r="82" spans="1:15" x14ac:dyDescent="0.25">
      <c r="A82" s="28" t="s">
        <v>83</v>
      </c>
      <c r="B82" s="28"/>
      <c r="C82" s="72"/>
      <c r="D82" s="44"/>
      <c r="E82" s="28"/>
      <c r="F82" s="52"/>
      <c r="G82" s="28"/>
      <c r="H82" s="28"/>
      <c r="I82" s="28"/>
      <c r="J82" s="28"/>
      <c r="K82" s="28"/>
      <c r="L82" s="28"/>
      <c r="M82" s="28"/>
      <c r="N82" s="28"/>
      <c r="O82" s="28"/>
    </row>
    <row r="83" spans="1:15" x14ac:dyDescent="0.25">
      <c r="A83" s="28"/>
      <c r="B83" s="28"/>
      <c r="C83" s="72"/>
      <c r="D83" s="44"/>
      <c r="E83" s="28"/>
      <c r="F83" s="52"/>
      <c r="G83" s="28"/>
      <c r="H83" s="28"/>
      <c r="I83" s="28"/>
      <c r="J83" s="28"/>
      <c r="K83" s="28"/>
      <c r="L83" s="28"/>
      <c r="M83" s="28"/>
      <c r="N83" s="28"/>
      <c r="O83" s="28"/>
    </row>
    <row r="84" spans="1:15" x14ac:dyDescent="0.25">
      <c r="A84" s="28"/>
      <c r="B84" s="28"/>
      <c r="C84" s="72"/>
      <c r="D84" s="44"/>
      <c r="E84" s="28"/>
      <c r="F84" s="52"/>
      <c r="G84" s="28"/>
      <c r="H84" s="28"/>
      <c r="I84" s="28"/>
      <c r="J84" s="28"/>
      <c r="K84" s="28"/>
      <c r="L84" s="28"/>
      <c r="M84" s="28"/>
      <c r="N84" s="28"/>
      <c r="O84" s="28"/>
    </row>
    <row r="85" spans="1:15" x14ac:dyDescent="0.25">
      <c r="A85" s="28"/>
      <c r="B85" s="28"/>
      <c r="C85" s="72"/>
      <c r="D85" s="44"/>
      <c r="E85" s="28"/>
      <c r="F85" s="52"/>
      <c r="G85" s="28"/>
      <c r="H85" s="28"/>
      <c r="I85" s="28"/>
      <c r="J85" s="28"/>
      <c r="K85" s="28"/>
      <c r="L85" s="28"/>
      <c r="M85" s="28"/>
      <c r="N85" s="28"/>
      <c r="O85" s="28"/>
    </row>
    <row r="86" spans="1:15" x14ac:dyDescent="0.25">
      <c r="A86" s="28"/>
      <c r="B86" s="28"/>
      <c r="C86" s="72"/>
      <c r="D86" s="44"/>
      <c r="E86" s="28"/>
      <c r="F86" s="52"/>
      <c r="G86" s="28"/>
      <c r="H86" s="28"/>
      <c r="I86" s="28"/>
      <c r="J86" s="28"/>
      <c r="K86" s="28"/>
      <c r="L86" s="28"/>
      <c r="M86" s="28"/>
      <c r="N86" s="28"/>
      <c r="O86" s="28"/>
    </row>
    <row r="87" spans="1:15" ht="13" x14ac:dyDescent="0.3">
      <c r="A87" s="28"/>
      <c r="B87" s="28"/>
      <c r="C87" s="28"/>
      <c r="D87" s="44"/>
      <c r="E87" s="29"/>
      <c r="F87" s="52"/>
      <c r="G87" s="28"/>
      <c r="H87" s="28"/>
      <c r="I87" s="28"/>
      <c r="J87" s="28"/>
      <c r="K87" s="28"/>
      <c r="L87" s="28"/>
      <c r="M87" s="28"/>
      <c r="N87" s="28"/>
      <c r="O87" s="28"/>
    </row>
    <row r="88" spans="1:15" x14ac:dyDescent="0.25">
      <c r="A88" s="28"/>
      <c r="B88" s="28"/>
      <c r="C88" s="28"/>
      <c r="D88" s="44"/>
      <c r="E88" s="44"/>
      <c r="F88" s="52"/>
      <c r="G88" s="28"/>
      <c r="H88" s="28"/>
      <c r="I88" s="28"/>
      <c r="J88" s="28"/>
      <c r="K88" s="28"/>
      <c r="L88" s="28"/>
      <c r="M88" s="28"/>
      <c r="N88" s="28"/>
      <c r="O88" s="28"/>
    </row>
    <row r="89" spans="1:15" x14ac:dyDescent="0.25">
      <c r="A89" s="28"/>
      <c r="B89" s="28"/>
      <c r="C89" s="72"/>
      <c r="D89" s="44"/>
      <c r="E89" s="28"/>
      <c r="F89" s="52"/>
      <c r="G89" s="28"/>
      <c r="H89" s="28"/>
      <c r="I89" s="28"/>
      <c r="J89" s="28"/>
      <c r="K89" s="28"/>
      <c r="L89" s="28"/>
      <c r="M89" s="28"/>
      <c r="N89" s="28"/>
      <c r="O89" s="28"/>
    </row>
    <row r="90" spans="1:15" x14ac:dyDescent="0.25">
      <c r="A90" s="28"/>
      <c r="B90" s="28"/>
      <c r="C90" s="72"/>
      <c r="D90" s="44"/>
      <c r="E90" s="28"/>
      <c r="F90" s="52"/>
      <c r="G90" s="28"/>
      <c r="H90" s="28"/>
      <c r="I90" s="28"/>
      <c r="J90" s="28"/>
      <c r="K90" s="28"/>
      <c r="L90" s="28"/>
      <c r="M90" s="28"/>
      <c r="N90" s="28"/>
      <c r="O90" s="28"/>
    </row>
    <row r="91" spans="1:15" ht="13" x14ac:dyDescent="0.3">
      <c r="A91" s="28"/>
      <c r="B91" s="28"/>
      <c r="C91" s="28"/>
      <c r="D91" s="44"/>
      <c r="E91" s="29"/>
      <c r="F91" s="52"/>
      <c r="G91" s="28"/>
      <c r="H91" s="28"/>
      <c r="I91" s="28"/>
      <c r="J91" s="28"/>
      <c r="K91" s="28"/>
      <c r="L91" s="28"/>
      <c r="M91" s="28"/>
      <c r="N91" s="28"/>
      <c r="O91" s="28"/>
    </row>
    <row r="92" spans="1:15" x14ac:dyDescent="0.25">
      <c r="A92" s="28"/>
      <c r="B92" s="28"/>
      <c r="C92" s="28"/>
      <c r="D92" s="44"/>
      <c r="E92" s="28"/>
      <c r="F92" s="52"/>
      <c r="G92" s="28"/>
      <c r="H92" s="28"/>
      <c r="I92" s="28"/>
      <c r="J92" s="28"/>
      <c r="K92" s="28"/>
      <c r="L92" s="28"/>
      <c r="M92" s="28"/>
      <c r="N92" s="28"/>
      <c r="O92" s="28"/>
    </row>
    <row r="93" spans="1:15" x14ac:dyDescent="0.25">
      <c r="A93" s="28"/>
      <c r="B93" s="28"/>
      <c r="C93" s="28"/>
      <c r="D93" s="44"/>
      <c r="E93" s="44"/>
      <c r="F93" s="52"/>
      <c r="G93" s="28"/>
      <c r="H93" s="28"/>
      <c r="I93" s="28"/>
      <c r="J93" s="28"/>
      <c r="K93" s="28"/>
      <c r="L93" s="28"/>
      <c r="M93" s="28"/>
      <c r="N93" s="28"/>
      <c r="O93" s="28"/>
    </row>
    <row r="94" spans="1:15" x14ac:dyDescent="0.25">
      <c r="A94" s="28"/>
      <c r="B94" s="28"/>
      <c r="C94" s="72"/>
      <c r="D94" s="44"/>
      <c r="E94" s="28"/>
      <c r="F94" s="52"/>
      <c r="G94" s="28"/>
      <c r="H94" s="28"/>
      <c r="I94" s="28"/>
      <c r="J94" s="28"/>
      <c r="K94" s="28"/>
      <c r="L94" s="28"/>
      <c r="M94" s="28"/>
      <c r="N94" s="28"/>
      <c r="O94" s="28"/>
    </row>
    <row r="95" spans="1:15" x14ac:dyDescent="0.25">
      <c r="A95" s="28"/>
      <c r="B95" s="28"/>
      <c r="C95" s="72"/>
      <c r="D95" s="44"/>
      <c r="E95" s="28"/>
      <c r="F95" s="52"/>
      <c r="G95" s="28"/>
      <c r="H95" s="28"/>
      <c r="I95" s="28"/>
      <c r="J95" s="28"/>
      <c r="K95" s="28"/>
      <c r="L95" s="28"/>
      <c r="M95" s="28"/>
      <c r="N95" s="28"/>
      <c r="O95" s="28"/>
    </row>
    <row r="96" spans="1:15" x14ac:dyDescent="0.25">
      <c r="A96" s="28"/>
      <c r="B96" s="28"/>
      <c r="C96" s="28"/>
      <c r="D96" s="28"/>
      <c r="E96" s="28"/>
      <c r="F96" s="52"/>
      <c r="G96" s="28"/>
      <c r="H96" s="28"/>
      <c r="I96" s="28"/>
      <c r="J96" s="28"/>
      <c r="K96" s="28"/>
      <c r="L96" s="28"/>
      <c r="M96" s="28"/>
      <c r="N96" s="28"/>
      <c r="O96" s="28"/>
    </row>
    <row r="97" spans="1:13" x14ac:dyDescent="0.25">
      <c r="A97" s="28"/>
      <c r="B97" s="28"/>
      <c r="C97" s="28"/>
      <c r="D97" s="28"/>
      <c r="E97" s="28"/>
      <c r="F97" s="52"/>
      <c r="G97" s="28"/>
      <c r="H97" s="28"/>
      <c r="I97" s="28"/>
      <c r="J97" s="28"/>
      <c r="K97" s="28"/>
      <c r="L97" s="28"/>
      <c r="M97" s="28"/>
    </row>
  </sheetData>
  <mergeCells count="10">
    <mergeCell ref="A79:D79"/>
    <mergeCell ref="A80:D80"/>
    <mergeCell ref="A4:C4"/>
    <mergeCell ref="A15:D15"/>
    <mergeCell ref="A74:D74"/>
    <mergeCell ref="A75:D75"/>
    <mergeCell ref="A76:D76"/>
    <mergeCell ref="A77:D77"/>
    <mergeCell ref="A78:D78"/>
    <mergeCell ref="C6:C7"/>
  </mergeCells>
  <conditionalFormatting sqref="B35:B42">
    <cfRule type="cellIs" dxfId="3" priority="1" operator="greaterThan">
      <formula>9999</formula>
    </cfRule>
    <cfRule type="cellIs" dxfId="2" priority="2" operator="greaterThan">
      <formula>9999</formula>
    </cfRule>
  </conditionalFormatting>
  <pageMargins left="0.75" right="0.75" top="1" bottom="1" header="0.5" footer="0.5"/>
  <pageSetup scale="77" orientation="portrait" r:id="rId1"/>
  <headerFooter alignWithMargins="0">
    <oddHeader xml:space="preserve">&amp;C&amp;F&amp;L
</oddHeader>
    <oddFooter xml:space="preserve">&amp;C&amp;A&amp;L
</oddFooter>
  </headerFooter>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pageSetUpPr fitToPage="1"/>
  </sheetPr>
  <dimension ref="A1:O82"/>
  <sheetViews>
    <sheetView workbookViewId="0">
      <selection activeCell="F44" sqref="F44"/>
    </sheetView>
  </sheetViews>
  <sheetFormatPr defaultColWidth="9.1796875" defaultRowHeight="12.5" x14ac:dyDescent="0.25"/>
  <cols>
    <col min="1" max="1" width="31.1796875" style="25" customWidth="1"/>
    <col min="2" max="2" width="28.453125" style="25" customWidth="1"/>
    <col min="3" max="3" width="23.26953125" style="25" customWidth="1"/>
    <col min="4" max="4" width="14.1796875" style="25" customWidth="1"/>
    <col min="5" max="5" width="13.7265625" style="25" bestFit="1" customWidth="1"/>
    <col min="6" max="6" width="86.7265625" style="25" bestFit="1" customWidth="1"/>
    <col min="7" max="7" width="9.1796875" style="25"/>
    <col min="8" max="8" width="0" style="25" hidden="1" customWidth="1"/>
    <col min="9" max="16384" width="9.1796875" style="25"/>
  </cols>
  <sheetData>
    <row r="1" spans="1:11" customFormat="1" ht="20.25" customHeight="1" x14ac:dyDescent="0.25">
      <c r="A1" s="25"/>
      <c r="B1" s="25"/>
      <c r="C1" s="78"/>
      <c r="D1" s="158" t="s">
        <v>145</v>
      </c>
      <c r="E1" s="159" t="str">
        <f>Ballast!$I$1</f>
        <v>4095-GBPSH</v>
      </c>
    </row>
    <row r="2" spans="1:11" customFormat="1" ht="20.25" customHeight="1" x14ac:dyDescent="0.25">
      <c r="A2" s="25"/>
      <c r="B2" s="25"/>
      <c r="C2" s="78"/>
      <c r="D2" s="160" t="s">
        <v>146</v>
      </c>
      <c r="E2" s="161" t="str">
        <f>Ballast!$I$2</f>
        <v>H</v>
      </c>
    </row>
    <row r="3" spans="1:11" customFormat="1" ht="20.25" customHeight="1" x14ac:dyDescent="0.25">
      <c r="A3" s="25"/>
      <c r="B3" s="25"/>
      <c r="C3" s="78"/>
      <c r="D3" s="160" t="s">
        <v>1</v>
      </c>
      <c r="E3" s="162">
        <f>Ballast!$I$3</f>
        <v>44888</v>
      </c>
    </row>
    <row r="4" spans="1:11" customFormat="1" ht="20.25" customHeight="1" thickBot="1" x14ac:dyDescent="0.3">
      <c r="A4" s="25"/>
      <c r="B4" s="25"/>
      <c r="C4" s="78"/>
      <c r="D4" s="163" t="s">
        <v>147</v>
      </c>
      <c r="E4" s="164">
        <f>Ballast!$I$4</f>
        <v>14841</v>
      </c>
    </row>
    <row r="5" spans="1:11" customFormat="1" ht="15" customHeight="1" thickBot="1" x14ac:dyDescent="0.3">
      <c r="A5" s="25"/>
      <c r="B5" s="25"/>
      <c r="C5" s="78"/>
      <c r="D5" s="78"/>
      <c r="E5" s="78"/>
    </row>
    <row r="6" spans="1:11" customFormat="1" ht="6.75" customHeight="1" thickTop="1" thickBot="1" x14ac:dyDescent="0.3">
      <c r="A6" s="195"/>
      <c r="B6" s="195"/>
      <c r="C6" s="168"/>
      <c r="D6" s="168"/>
      <c r="E6" s="168"/>
    </row>
    <row r="7" spans="1:11" ht="13" x14ac:dyDescent="0.3">
      <c r="A7" s="155" t="s">
        <v>34</v>
      </c>
      <c r="B7" s="375" t="str">
        <f>IF(ISBLANK(Ballast!D15),"",Ballast!D15)</f>
        <v>amlr05</v>
      </c>
      <c r="C7" s="550" t="str">
        <f>IF(Ballast!D18=Constants!B13,"",IF(Ballast!D18=Constants!B14,"","Wrong Generation Glider Selected"))</f>
        <v>Wrong Generation Glider Selected</v>
      </c>
      <c r="D7" s="78"/>
      <c r="E7" s="78"/>
      <c r="F7" s="31"/>
    </row>
    <row r="8" spans="1:11" ht="14.25" customHeight="1" thickBot="1" x14ac:dyDescent="0.35">
      <c r="A8" s="156" t="s">
        <v>1</v>
      </c>
      <c r="B8" s="376">
        <f>IF(ISBLANK(Ballast!D17),"",Ballast!D17)</f>
        <v>46293</v>
      </c>
      <c r="C8" s="550"/>
      <c r="D8" s="78"/>
      <c r="E8" s="78"/>
      <c r="F8" s="31"/>
    </row>
    <row r="9" spans="1:11" ht="18" customHeight="1" x14ac:dyDescent="0.25">
      <c r="A9" s="379"/>
      <c r="B9" s="379"/>
      <c r="C9" s="379"/>
      <c r="D9" s="379"/>
      <c r="F9" s="31"/>
      <c r="G9" s="312" t="s">
        <v>202</v>
      </c>
      <c r="H9" s="312" t="s">
        <v>203</v>
      </c>
    </row>
    <row r="10" spans="1:11" ht="21.65" customHeight="1" x14ac:dyDescent="0.25">
      <c r="A10" s="551" t="str">
        <f>VLOOKUP(Constants!B104, Constants!B101:C102, 2, FALSE)</f>
        <v>Picture 7</v>
      </c>
      <c r="B10" s="551"/>
      <c r="C10" s="551"/>
      <c r="D10" s="551"/>
      <c r="E10" s="78"/>
      <c r="F10" s="31"/>
      <c r="G10" s="312" t="s">
        <v>206</v>
      </c>
      <c r="H10" s="312" t="s">
        <v>204</v>
      </c>
    </row>
    <row r="11" spans="1:11" ht="21" customHeight="1" x14ac:dyDescent="0.25">
      <c r="A11" s="551"/>
      <c r="B11" s="551"/>
      <c r="C11" s="551"/>
      <c r="D11" s="551"/>
      <c r="E11" s="318"/>
      <c r="F11" s="31"/>
      <c r="G11" s="312" t="s">
        <v>207</v>
      </c>
      <c r="H11" s="312" t="s">
        <v>205</v>
      </c>
    </row>
    <row r="12" spans="1:11" ht="24" customHeight="1" x14ac:dyDescent="0.25">
      <c r="A12" s="551"/>
      <c r="B12" s="551"/>
      <c r="C12" s="551"/>
      <c r="D12" s="551"/>
      <c r="E12" s="78"/>
      <c r="F12" s="31"/>
    </row>
    <row r="13" spans="1:11" ht="30.65" customHeight="1" x14ac:dyDescent="0.25">
      <c r="A13" s="551"/>
      <c r="B13" s="551"/>
      <c r="C13" s="551"/>
      <c r="D13" s="551"/>
      <c r="E13" s="78"/>
      <c r="F13" s="31"/>
    </row>
    <row r="14" spans="1:11" ht="15" customHeight="1" x14ac:dyDescent="0.25">
      <c r="A14" s="379"/>
      <c r="B14" s="379"/>
      <c r="C14" s="379"/>
      <c r="D14" s="379"/>
      <c r="E14" s="78"/>
      <c r="F14" s="31"/>
    </row>
    <row r="15" spans="1:11" ht="13" x14ac:dyDescent="0.3">
      <c r="A15" s="547" t="s">
        <v>154</v>
      </c>
      <c r="B15" s="547"/>
      <c r="C15" s="547"/>
      <c r="D15" s="547"/>
      <c r="E15" s="78"/>
      <c r="F15" s="31"/>
    </row>
    <row r="16" spans="1:11" ht="13" thickBot="1" x14ac:dyDescent="0.3">
      <c r="A16" s="32"/>
      <c r="C16" s="78"/>
      <c r="D16" s="78"/>
      <c r="E16" s="78"/>
      <c r="F16" s="31"/>
      <c r="J16" s="312"/>
      <c r="K16" s="312"/>
    </row>
    <row r="17" spans="1:11" ht="13" x14ac:dyDescent="0.3">
      <c r="A17" s="33" t="s">
        <v>55</v>
      </c>
      <c r="B17" s="34"/>
      <c r="C17" s="169"/>
      <c r="D17" s="170"/>
      <c r="E17" s="78"/>
      <c r="F17" s="31"/>
      <c r="J17" s="312"/>
      <c r="K17" s="312"/>
    </row>
    <row r="18" spans="1:11" ht="13" x14ac:dyDescent="0.3">
      <c r="A18" s="36"/>
      <c r="B18" s="37" t="s">
        <v>44</v>
      </c>
      <c r="C18" s="73"/>
      <c r="D18" s="38" t="s">
        <v>8</v>
      </c>
      <c r="E18" s="322" t="str">
        <f>IF(C18&gt;5000,"Error: scale reading too high",IF(C18&lt;0,"Error: scale reading should be positive",""))</f>
        <v/>
      </c>
      <c r="F18" s="31"/>
      <c r="J18" s="312"/>
      <c r="K18" s="312"/>
    </row>
    <row r="19" spans="1:11" ht="13" x14ac:dyDescent="0.3">
      <c r="A19" s="39"/>
      <c r="B19" s="40" t="s">
        <v>45</v>
      </c>
      <c r="C19" s="73"/>
      <c r="D19" s="38" t="s">
        <v>8</v>
      </c>
      <c r="E19" s="322" t="str">
        <f>IF(C19&gt;5000,"Error: scale reading too high",IF(C19&lt;0,"Error: scale reading should be positive",""))</f>
        <v/>
      </c>
      <c r="F19" s="31"/>
      <c r="J19" s="312"/>
      <c r="K19" s="312"/>
    </row>
    <row r="20" spans="1:11" x14ac:dyDescent="0.25">
      <c r="A20" s="39"/>
      <c r="B20" s="40" t="s">
        <v>46</v>
      </c>
      <c r="C20" s="175">
        <f>Ballast!H46</f>
        <v>-978.46065047594232</v>
      </c>
      <c r="D20" s="38" t="s">
        <v>8</v>
      </c>
      <c r="E20" s="78"/>
      <c r="F20" s="31"/>
    </row>
    <row r="21" spans="1:11" ht="13" x14ac:dyDescent="0.3">
      <c r="A21" s="41"/>
      <c r="B21" s="42" t="str">
        <f>IF((C18+C19-C20)&gt;0,"Total weight to remove:","Total weight to add:")</f>
        <v>Total weight to remove:</v>
      </c>
      <c r="C21" s="177">
        <f>ABS(C18+C19-C20)</f>
        <v>978.46065047594232</v>
      </c>
      <c r="D21" s="43" t="s">
        <v>8</v>
      </c>
      <c r="E21" s="78"/>
      <c r="F21" s="31"/>
    </row>
    <row r="22" spans="1:11" x14ac:dyDescent="0.25">
      <c r="A22" s="174"/>
      <c r="B22" s="178"/>
      <c r="C22" s="179"/>
      <c r="D22" s="38"/>
      <c r="E22" s="78"/>
      <c r="F22" s="31"/>
    </row>
    <row r="23" spans="1:11" x14ac:dyDescent="0.25">
      <c r="A23" s="174"/>
      <c r="B23" s="45" t="s">
        <v>43</v>
      </c>
      <c r="C23" s="46" t="s">
        <v>47</v>
      </c>
      <c r="D23" s="38"/>
      <c r="E23" s="78"/>
      <c r="F23" s="31"/>
    </row>
    <row r="24" spans="1:11" x14ac:dyDescent="0.25">
      <c r="A24" s="174"/>
      <c r="B24" s="47" t="s">
        <v>60</v>
      </c>
      <c r="C24" s="47" t="s">
        <v>60</v>
      </c>
      <c r="D24" s="38"/>
      <c r="E24" s="78"/>
      <c r="F24" s="31"/>
    </row>
    <row r="25" spans="1:11" x14ac:dyDescent="0.25">
      <c r="A25" s="48" t="s">
        <v>211</v>
      </c>
      <c r="B25" s="201">
        <v>1</v>
      </c>
      <c r="C25" s="180">
        <f>B25-$C$31</f>
        <v>-33.757180087086716</v>
      </c>
      <c r="D25" s="38"/>
      <c r="E25" s="25" t="str">
        <f>IF(B25&lt;-10,"Error: Check scale position",IF(B25&gt;30, "Error, check scale position",""))</f>
        <v/>
      </c>
      <c r="F25" s="31"/>
    </row>
    <row r="26" spans="1:11" x14ac:dyDescent="0.25">
      <c r="A26" s="48" t="s">
        <v>212</v>
      </c>
      <c r="B26" s="201">
        <f>Constants!C96-1</f>
        <v>65.024360174173438</v>
      </c>
      <c r="C26" s="180">
        <f>B26-$C$31</f>
        <v>30.267180087086722</v>
      </c>
      <c r="D26" s="38"/>
      <c r="E26" s="25" t="str">
        <f>IF(B26&lt;20,"Error: Check scale position",IF(B26&gt;70, "Error, check scale position",""))</f>
        <v/>
      </c>
      <c r="F26" s="31"/>
    </row>
    <row r="27" spans="1:11" x14ac:dyDescent="0.25">
      <c r="A27" s="39"/>
      <c r="B27" s="27"/>
      <c r="C27" s="178"/>
      <c r="D27" s="38"/>
      <c r="E27" s="78"/>
      <c r="F27" s="31"/>
    </row>
    <row r="28" spans="1:11" ht="13.5" thickBot="1" x14ac:dyDescent="0.35">
      <c r="A28" s="49"/>
      <c r="B28" s="50" t="s">
        <v>68</v>
      </c>
      <c r="C28" s="167">
        <f>(C18*C25)+(C19*C26)</f>
        <v>0</v>
      </c>
      <c r="D28" s="51" t="s">
        <v>35</v>
      </c>
      <c r="E28" s="78"/>
      <c r="F28" s="31"/>
    </row>
    <row r="29" spans="1:11" ht="13" thickBot="1" x14ac:dyDescent="0.3">
      <c r="A29" s="178"/>
      <c r="B29" s="183"/>
      <c r="C29" s="178"/>
      <c r="D29" s="178"/>
      <c r="E29" s="178"/>
      <c r="F29" s="52" t="s">
        <v>74</v>
      </c>
    </row>
    <row r="30" spans="1:11" ht="13" x14ac:dyDescent="0.3">
      <c r="A30" s="53" t="s">
        <v>41</v>
      </c>
      <c r="B30" s="169"/>
      <c r="C30" s="169"/>
      <c r="D30" s="170"/>
      <c r="E30" s="178"/>
      <c r="F30" s="31" t="s">
        <v>56</v>
      </c>
    </row>
    <row r="31" spans="1:11" x14ac:dyDescent="0.25">
      <c r="A31" s="39"/>
      <c r="B31" s="54" t="s">
        <v>40</v>
      </c>
      <c r="C31" s="74">
        <f>Constants!E96</f>
        <v>34.757180087086716</v>
      </c>
      <c r="D31" s="184"/>
      <c r="E31" s="178"/>
      <c r="F31" s="31" t="s">
        <v>42</v>
      </c>
    </row>
    <row r="32" spans="1:11" ht="13" thickBot="1" x14ac:dyDescent="0.3">
      <c r="A32" s="39"/>
      <c r="B32" s="178"/>
      <c r="C32" s="178"/>
      <c r="D32" s="172"/>
      <c r="E32" s="178"/>
      <c r="F32" s="31" t="s">
        <v>62</v>
      </c>
    </row>
    <row r="33" spans="1:6" x14ac:dyDescent="0.25">
      <c r="A33" s="55" t="s">
        <v>210</v>
      </c>
      <c r="B33" s="55" t="s">
        <v>213</v>
      </c>
      <c r="C33" s="55" t="s">
        <v>61</v>
      </c>
      <c r="D33" s="172"/>
      <c r="E33" s="178"/>
      <c r="F33" s="31" t="s">
        <v>80</v>
      </c>
    </row>
    <row r="34" spans="1:6" ht="13" thickBot="1" x14ac:dyDescent="0.3">
      <c r="A34" s="56"/>
      <c r="B34" s="56" t="s">
        <v>60</v>
      </c>
      <c r="C34" s="56" t="s">
        <v>60</v>
      </c>
      <c r="D34" s="172"/>
      <c r="E34" s="178"/>
      <c r="F34" s="31" t="s">
        <v>81</v>
      </c>
    </row>
    <row r="35" spans="1:6" x14ac:dyDescent="0.25">
      <c r="A35" s="192" t="s">
        <v>270</v>
      </c>
      <c r="B35" s="420">
        <f>VLOOKUP(Ballast!D18,Constants!B13:Q17,15,FALSE)</f>
        <v>0</v>
      </c>
      <c r="C35" s="424">
        <f t="shared" ref="C35:C42" si="0">B35-C$31</f>
        <v>-34.757180087086716</v>
      </c>
      <c r="D35" s="172"/>
      <c r="E35" s="178"/>
      <c r="F35" s="31"/>
    </row>
    <row r="36" spans="1:6" x14ac:dyDescent="0.25">
      <c r="A36" s="200" t="s">
        <v>271</v>
      </c>
      <c r="B36" s="421">
        <f>VLOOKUP(Ballast!D18,Constants!B13:Q17,16,FALSE)+IF(ISNA(B35),0,B35)</f>
        <v>0</v>
      </c>
      <c r="C36" s="425">
        <f t="shared" si="0"/>
        <v>-34.757180087086716</v>
      </c>
      <c r="D36" s="172"/>
      <c r="E36" s="178"/>
    </row>
    <row r="37" spans="1:6" x14ac:dyDescent="0.25">
      <c r="A37" s="200" t="s">
        <v>274</v>
      </c>
      <c r="B37" s="421">
        <f>IF(Ballast!D22&lt;&gt;"None",Constants!C92,#N/A)</f>
        <v>19.785620082003149</v>
      </c>
      <c r="C37" s="425">
        <f t="shared" si="0"/>
        <v>-14.971560005083568</v>
      </c>
      <c r="D37" s="172"/>
      <c r="E37" s="178"/>
      <c r="F37" s="31"/>
    </row>
    <row r="38" spans="1:6" x14ac:dyDescent="0.25">
      <c r="A38" s="200" t="s">
        <v>275</v>
      </c>
      <c r="B38" s="422">
        <f>IF(Ballast!D22&lt;&gt;"None",B37+Constants!C92,Constants!C92)</f>
        <v>39.571240164006298</v>
      </c>
      <c r="C38" s="425">
        <f t="shared" si="0"/>
        <v>4.8140600769195814</v>
      </c>
      <c r="D38" s="172"/>
      <c r="E38" s="418"/>
    </row>
    <row r="39" spans="1:6" x14ac:dyDescent="0.25">
      <c r="A39" s="200" t="s">
        <v>48</v>
      </c>
      <c r="B39" s="421">
        <f>Constants!C96*0.5</f>
        <v>33.012180087086719</v>
      </c>
      <c r="C39" s="425">
        <f t="shared" si="0"/>
        <v>-1.7449999999999974</v>
      </c>
      <c r="D39" s="172"/>
      <c r="E39" s="178"/>
      <c r="F39" s="31"/>
    </row>
    <row r="40" spans="1:6" x14ac:dyDescent="0.25">
      <c r="A40" s="200" t="s">
        <v>272</v>
      </c>
      <c r="B40" s="422">
        <f>B38+0.5*Constants!C94</f>
        <v>44.847405519207136</v>
      </c>
      <c r="C40" s="425">
        <f t="shared" si="0"/>
        <v>10.09022543212042</v>
      </c>
      <c r="D40" s="172"/>
      <c r="E40" s="178"/>
      <c r="F40" s="31"/>
    </row>
    <row r="41" spans="1:6" x14ac:dyDescent="0.25">
      <c r="A41" s="200" t="s">
        <v>276</v>
      </c>
      <c r="B41" s="421">
        <f>B38+Constants!C94</f>
        <v>50.123570874407974</v>
      </c>
      <c r="C41" s="425">
        <f t="shared" si="0"/>
        <v>15.366390787321258</v>
      </c>
      <c r="D41" s="172"/>
      <c r="E41" s="178"/>
      <c r="F41" s="31"/>
    </row>
    <row r="42" spans="1:6" ht="13" thickBot="1" x14ac:dyDescent="0.3">
      <c r="A42" s="194" t="s">
        <v>273</v>
      </c>
      <c r="B42" s="423">
        <f>B41+0.64+Constants!C93</f>
        <v>72.014792443966911</v>
      </c>
      <c r="C42" s="426">
        <f t="shared" si="0"/>
        <v>37.257612356880195</v>
      </c>
      <c r="D42" s="185"/>
      <c r="E42" s="178"/>
      <c r="F42" s="31"/>
    </row>
    <row r="43" spans="1:6" ht="13" thickBot="1" x14ac:dyDescent="0.3">
      <c r="B43" s="78"/>
      <c r="C43" s="78"/>
      <c r="D43" s="78"/>
      <c r="E43" s="78"/>
      <c r="F43" s="31"/>
    </row>
    <row r="44" spans="1:6" ht="13" x14ac:dyDescent="0.3">
      <c r="A44" s="53" t="s">
        <v>209</v>
      </c>
      <c r="B44" s="169"/>
      <c r="C44" s="169"/>
      <c r="D44" s="170"/>
      <c r="E44" s="78"/>
      <c r="F44" s="31"/>
    </row>
    <row r="45" spans="1:6" ht="13" thickBot="1" x14ac:dyDescent="0.3">
      <c r="A45" s="39"/>
      <c r="B45" s="178"/>
      <c r="C45" s="178"/>
      <c r="D45" s="172"/>
      <c r="E45" s="78"/>
      <c r="F45" s="31"/>
    </row>
    <row r="46" spans="1:6" ht="25" x14ac:dyDescent="0.25">
      <c r="A46" s="55" t="s">
        <v>69</v>
      </c>
      <c r="B46" s="55" t="s">
        <v>53</v>
      </c>
      <c r="C46" s="34" t="s">
        <v>208</v>
      </c>
      <c r="D46" s="154" t="s">
        <v>222</v>
      </c>
      <c r="E46" s="190" t="s">
        <v>82</v>
      </c>
      <c r="F46" s="31"/>
    </row>
    <row r="47" spans="1:6" ht="13" thickBot="1" x14ac:dyDescent="0.3">
      <c r="A47" s="58" t="s">
        <v>70</v>
      </c>
      <c r="B47" s="56"/>
      <c r="C47" s="59" t="s">
        <v>58</v>
      </c>
      <c r="D47" s="58" t="s">
        <v>59</v>
      </c>
      <c r="E47" s="191" t="s">
        <v>214</v>
      </c>
      <c r="F47" s="31"/>
    </row>
    <row r="48" spans="1:6" ht="13" x14ac:dyDescent="0.25">
      <c r="A48" s="432">
        <f>IF(Ballast!D18=Constants!B13,1,0)</f>
        <v>0</v>
      </c>
      <c r="B48" s="60" t="str">
        <f>A35</f>
        <v>FWD Plates</v>
      </c>
      <c r="C48" s="76">
        <v>0</v>
      </c>
      <c r="D48" s="186">
        <f t="shared" ref="D48:D55" si="1">C35*C48</f>
        <v>0</v>
      </c>
      <c r="E48" s="79"/>
      <c r="F48" s="82" t="str">
        <f t="shared" ref="F48:F56" si="2">IF(ABS(C48)&gt;5000,"Error: Weight adjustment too high","")</f>
        <v/>
      </c>
    </row>
    <row r="49" spans="1:8" ht="13" x14ac:dyDescent="0.25">
      <c r="A49" s="76">
        <v>1</v>
      </c>
      <c r="B49" s="60" t="str">
        <f t="shared" ref="B49:B55" si="3">A36</f>
        <v>FWD Ballast Bottles</v>
      </c>
      <c r="C49" s="76">
        <v>0</v>
      </c>
      <c r="D49" s="186">
        <f t="shared" si="1"/>
        <v>0</v>
      </c>
      <c r="E49" s="80"/>
      <c r="F49" s="82" t="str">
        <f t="shared" si="2"/>
        <v/>
      </c>
    </row>
    <row r="50" spans="1:8" ht="13" x14ac:dyDescent="0.25">
      <c r="A50" s="419">
        <f>IF(Ballast!D22&lt;&gt;"None",1,0)</f>
        <v>1</v>
      </c>
      <c r="B50" s="60" t="str">
        <f t="shared" si="3"/>
        <v>FWD Secondary Bay Pie Weights</v>
      </c>
      <c r="C50" s="76">
        <v>0</v>
      </c>
      <c r="D50" s="186">
        <f t="shared" si="1"/>
        <v>0</v>
      </c>
      <c r="E50" s="80"/>
      <c r="F50" s="82" t="str">
        <f t="shared" si="2"/>
        <v/>
      </c>
    </row>
    <row r="51" spans="1:8" ht="13" x14ac:dyDescent="0.25">
      <c r="A51" s="76">
        <v>1</v>
      </c>
      <c r="B51" s="60" t="str">
        <f t="shared" si="3"/>
        <v>FWD Primary Pie Weights</v>
      </c>
      <c r="C51" s="76">
        <v>0</v>
      </c>
      <c r="D51" s="186">
        <f t="shared" si="1"/>
        <v>0</v>
      </c>
      <c r="E51" s="80"/>
      <c r="F51" s="82" t="str">
        <f t="shared" si="2"/>
        <v/>
      </c>
    </row>
    <row r="52" spans="1:8" ht="13" x14ac:dyDescent="0.25">
      <c r="A52" s="76">
        <v>1</v>
      </c>
      <c r="B52" s="60" t="str">
        <f t="shared" si="3"/>
        <v>Center</v>
      </c>
      <c r="C52" s="76">
        <v>0</v>
      </c>
      <c r="D52" s="186">
        <f t="shared" si="1"/>
        <v>0</v>
      </c>
      <c r="E52" s="80"/>
      <c r="F52" s="82" t="str">
        <f t="shared" si="2"/>
        <v/>
      </c>
    </row>
    <row r="53" spans="1:8" ht="13" x14ac:dyDescent="0.25">
      <c r="A53" s="76">
        <v>1</v>
      </c>
      <c r="B53" s="60" t="str">
        <f t="shared" si="3"/>
        <v>Wing Rail Slugs</v>
      </c>
      <c r="C53" s="76">
        <v>0</v>
      </c>
      <c r="D53" s="186">
        <f t="shared" si="1"/>
        <v>0</v>
      </c>
      <c r="E53" s="80"/>
      <c r="F53" s="82" t="str">
        <f t="shared" si="2"/>
        <v/>
      </c>
    </row>
    <row r="54" spans="1:8" ht="13" x14ac:dyDescent="0.25">
      <c r="A54" s="76">
        <v>1</v>
      </c>
      <c r="B54" s="60" t="str">
        <f t="shared" si="3"/>
        <v>AFT Primary Bay Pie Weights</v>
      </c>
      <c r="C54" s="76">
        <v>0</v>
      </c>
      <c r="D54" s="186">
        <f t="shared" si="1"/>
        <v>0</v>
      </c>
      <c r="E54" s="80"/>
      <c r="F54" s="82" t="str">
        <f t="shared" si="2"/>
        <v/>
      </c>
    </row>
    <row r="55" spans="1:8" ht="13.5" thickBot="1" x14ac:dyDescent="0.3">
      <c r="A55" s="77">
        <v>1</v>
      </c>
      <c r="B55" s="56" t="str">
        <f t="shared" si="3"/>
        <v>AFT Ballast Bottles</v>
      </c>
      <c r="C55" s="77">
        <v>0</v>
      </c>
      <c r="D55" s="187">
        <f t="shared" si="1"/>
        <v>0</v>
      </c>
      <c r="E55" s="81"/>
      <c r="F55" s="82" t="str">
        <f t="shared" si="2"/>
        <v/>
      </c>
    </row>
    <row r="56" spans="1:8" ht="13.5" thickBot="1" x14ac:dyDescent="0.35">
      <c r="A56" s="182"/>
      <c r="B56" s="188"/>
      <c r="C56" s="167">
        <f>SUM(C48:C55)</f>
        <v>0</v>
      </c>
      <c r="D56" s="189">
        <f>SUMIF(D48:D55,"&lt;&gt;#N/A")</f>
        <v>0</v>
      </c>
      <c r="E56" s="78"/>
      <c r="F56" s="82" t="str">
        <f t="shared" si="2"/>
        <v/>
      </c>
    </row>
    <row r="57" spans="1:8" ht="13" thickBot="1" x14ac:dyDescent="0.3">
      <c r="A57" s="78"/>
      <c r="B57" s="78"/>
      <c r="C57" s="78"/>
      <c r="D57" s="78"/>
      <c r="E57" s="78"/>
      <c r="F57" s="31"/>
    </row>
    <row r="58" spans="1:8" ht="13.5" thickBot="1" x14ac:dyDescent="0.35">
      <c r="A58" s="381" t="s">
        <v>215</v>
      </c>
      <c r="B58" s="382"/>
      <c r="C58" s="382"/>
      <c r="D58" s="382"/>
      <c r="E58" s="383"/>
      <c r="F58" s="61"/>
    </row>
    <row r="59" spans="1:8" ht="13" x14ac:dyDescent="0.3">
      <c r="A59" s="39"/>
      <c r="B59" s="62">
        <f>ABS((C18+C19-C20)+C56)</f>
        <v>978.46065047594232</v>
      </c>
      <c r="C59" s="554" t="str">
        <f>IF(((C18+C19-C20)+C56)&gt;=0,"additional grams need to be removed", "additional grams need to be added")</f>
        <v>additional grams need to be removed</v>
      </c>
      <c r="D59" s="554"/>
      <c r="E59" s="555"/>
      <c r="F59" s="52"/>
      <c r="H59" s="25">
        <f>IF(A48,1,IF(A49,2,IF(A50,3,IF(A51,4,IF(A52,5,IF(A53,6,IF(A54,7,"Error")))))))</f>
        <v>2</v>
      </c>
    </row>
    <row r="60" spans="1:8" x14ac:dyDescent="0.25">
      <c r="A60" s="39"/>
      <c r="B60" s="44">
        <f>ABS((C28+D56)/(INDEX(C35:C42,IF(A55,8,IF(A54,7,IF(A53,6,IF(A52,5,IF(A51,4,IF(A50,3,IF(A49,2,"error"))))))))-INDEX(C35:C42,IF(A48,1,IF(A49,2,IF(A50,3,IF(A51,4,IF(A52,5,IF(A53,6,IF(A54,7,"Error"))))))))))</f>
        <v>0</v>
      </c>
      <c r="C60" s="556" t="str">
        <f>CONCATENATE("Grams need to move from ",IF((C28+D56)&lt;=0,INDEX(A35:A42,H59,1),INDEX(A35:A42,H60,1))," to ",IF((C28+D56)&lt;=0,INDEX(A35:A42,H60,1),INDEX(A35:A42,H59,1)))</f>
        <v>Grams need to move from FWD Ballast Bottles to AFT Ballast Bottles</v>
      </c>
      <c r="D60" s="556"/>
      <c r="E60" s="557"/>
      <c r="F60" s="52"/>
      <c r="H60" s="25">
        <f>IF(A55,8,IF(A54,7,IF(A53,6,IF(A52,5,IF(A51,4,IF(A50,3,IF(A49,2,"error")))))))</f>
        <v>8</v>
      </c>
    </row>
    <row r="61" spans="1:8" x14ac:dyDescent="0.25">
      <c r="A61" s="39"/>
      <c r="B61" s="44">
        <f>INDEX(C48:C55,IF(A48,1,IF(A49,2,IF(A50,3,IF(A51,4,IF(A52,5,IF(A53,6,IF(A54,7,"Error"))))))))+(C28+D56)/(INDEX(C35:C42,IF(A55,8,IF(A54,7,IF(A53,6,IF(A52,5,IF(A51,4,IF(A50,3,IF(A49,2,"error"))))))))-INDEX(C35:C42,IF(A48,1,IF(A49,2,IF(A50,3,IF(A51,4,IF(A52,5,IF(A53,6,IF(A54,7,"Error")))))))))</f>
        <v>0</v>
      </c>
      <c r="C61" s="558" t="str">
        <f>CONCATENATE("Change ",INDEX(A35:A42,IF(A48,1,IF(A49,2,IF(A50,3,IF(A51,4,IF(A52,5,IF(A53,6,IF(A54,7,"Error"))))))),1)," to this:")</f>
        <v>Change FWD Ballast Bottles to this:</v>
      </c>
      <c r="D61" s="558"/>
      <c r="E61" s="559"/>
      <c r="F61" s="52" t="s">
        <v>77</v>
      </c>
    </row>
    <row r="62" spans="1:8" ht="13" thickBot="1" x14ac:dyDescent="0.3">
      <c r="A62" s="49"/>
      <c r="B62" s="65">
        <f>INDEX(C48:C55,IF(A55,8,IF(A54,7,IF(A53,6,IF(A52,5,IF(A51,4,IF(A50,3,IF(A49,2,"error"))))))))-((C28+D56)/(INDEX(C35:C42,IF(A55,8,IF(A54,7,IF(A53,6,IF(A52,5,IF(A51,4,IF(A50,3,IF(A49,2,"error"))))))))-INDEX(C35:C42,IF(A48,1,IF(A49,2,IF(A50,3,IF(A51,4,IF(A52,5,IF(A53,6,IF(A54,7,"Error"))))))))))</f>
        <v>0</v>
      </c>
      <c r="C62" s="560" t="str">
        <f>CONCATENATE("Change ",INDEX(A35:A42,IF(A55,8,IF(A54,7,IF(A53,6,IF(A52,5,IF(A51,4,IF(A50,3,IF(A49,2,"error"))))))),1)," to this:")</f>
        <v>Change AFT Ballast Bottles to this:</v>
      </c>
      <c r="D62" s="560"/>
      <c r="E62" s="561"/>
      <c r="F62" s="52" t="s">
        <v>78</v>
      </c>
    </row>
    <row r="63" spans="1:8" x14ac:dyDescent="0.25">
      <c r="A63" s="28"/>
      <c r="B63" s="44"/>
      <c r="C63" s="64"/>
      <c r="D63" s="28"/>
      <c r="E63" s="28"/>
      <c r="F63" s="28"/>
    </row>
    <row r="64" spans="1:8" ht="15" customHeight="1" x14ac:dyDescent="0.25">
      <c r="A64" s="28"/>
      <c r="B64" s="44"/>
      <c r="C64" s="64"/>
      <c r="D64" s="275"/>
      <c r="E64" s="28"/>
      <c r="F64" s="28"/>
    </row>
    <row r="65" spans="1:15" s="4" customFormat="1" ht="2.25" hidden="1" customHeight="1" x14ac:dyDescent="0.25">
      <c r="A65" s="1"/>
      <c r="B65" s="1"/>
      <c r="C65" s="1"/>
      <c r="D65" s="1"/>
      <c r="E65" s="1"/>
      <c r="F65" s="1"/>
    </row>
    <row r="66" spans="1:15" s="4" customFormat="1" ht="38.25" customHeight="1" x14ac:dyDescent="0.25">
      <c r="A66" s="31" t="s">
        <v>75</v>
      </c>
      <c r="B66" s="27"/>
      <c r="C66" s="27"/>
      <c r="D66" s="27"/>
      <c r="E66" s="27"/>
      <c r="F66" s="67"/>
    </row>
    <row r="67" spans="1:15" s="4" customFormat="1" ht="18" customHeight="1" x14ac:dyDescent="0.3">
      <c r="A67" s="548" t="s">
        <v>76</v>
      </c>
      <c r="B67" s="552"/>
      <c r="C67" s="552"/>
      <c r="D67" s="552"/>
      <c r="E67" s="68"/>
      <c r="F67" s="69"/>
    </row>
    <row r="68" spans="1:15" s="4" customFormat="1" ht="51.65" customHeight="1" x14ac:dyDescent="0.25">
      <c r="A68" s="543" t="s">
        <v>160</v>
      </c>
      <c r="B68" s="552"/>
      <c r="C68" s="552"/>
      <c r="D68" s="552"/>
      <c r="E68" s="310"/>
      <c r="F68" s="309"/>
    </row>
    <row r="69" spans="1:15" s="4" customFormat="1" ht="54.65" customHeight="1" x14ac:dyDescent="0.25">
      <c r="A69" s="543" t="s">
        <v>161</v>
      </c>
      <c r="B69" s="552"/>
      <c r="C69" s="552"/>
      <c r="D69" s="552"/>
      <c r="E69" s="310"/>
      <c r="F69" s="309"/>
    </row>
    <row r="70" spans="1:15" s="4" customFormat="1" ht="52.9" customHeight="1" x14ac:dyDescent="0.25">
      <c r="A70" s="543" t="s">
        <v>162</v>
      </c>
      <c r="B70" s="552"/>
      <c r="C70" s="552"/>
      <c r="D70" s="552"/>
      <c r="E70" s="310"/>
      <c r="F70" s="309"/>
    </row>
    <row r="71" spans="1:15" s="4" customFormat="1" ht="109.15" customHeight="1" x14ac:dyDescent="0.25">
      <c r="A71" s="543" t="s">
        <v>163</v>
      </c>
      <c r="B71" s="552"/>
      <c r="C71" s="552"/>
      <c r="D71" s="552"/>
      <c r="E71" s="310"/>
      <c r="F71" s="309"/>
    </row>
    <row r="72" spans="1:15" ht="43.9" customHeight="1" x14ac:dyDescent="0.25">
      <c r="A72" s="543" t="s">
        <v>164</v>
      </c>
      <c r="B72" s="552"/>
      <c r="C72" s="552"/>
      <c r="D72" s="552"/>
      <c r="E72" s="71"/>
      <c r="F72" s="309"/>
    </row>
    <row r="73" spans="1:15" s="27" customFormat="1" ht="30" customHeight="1" x14ac:dyDescent="0.25">
      <c r="A73" s="544" t="s">
        <v>79</v>
      </c>
      <c r="B73" s="553"/>
      <c r="C73" s="553"/>
      <c r="D73" s="553"/>
      <c r="E73" s="28"/>
      <c r="F73" s="52"/>
    </row>
    <row r="74" spans="1:15" s="70" customFormat="1" ht="13.9" customHeight="1" x14ac:dyDescent="0.25">
      <c r="A74" s="28"/>
      <c r="B74" s="28"/>
      <c r="C74" s="72"/>
      <c r="D74" s="44"/>
      <c r="E74" s="28"/>
      <c r="F74" s="52"/>
    </row>
    <row r="75" spans="1:15" s="310" customFormat="1" ht="37.15" customHeight="1" x14ac:dyDescent="0.25">
      <c r="A75" s="28" t="s">
        <v>83</v>
      </c>
      <c r="B75" s="28"/>
      <c r="C75" s="72"/>
      <c r="D75" s="44"/>
      <c r="E75" s="28"/>
      <c r="F75" s="52"/>
    </row>
    <row r="76" spans="1:15" s="310" customFormat="1" ht="13.9" customHeight="1" x14ac:dyDescent="0.25">
      <c r="A76" s="25"/>
      <c r="B76" s="25"/>
      <c r="C76" s="25"/>
      <c r="D76" s="25"/>
      <c r="E76" s="25"/>
      <c r="F76" s="25"/>
      <c r="H76" s="71"/>
      <c r="I76" s="71"/>
      <c r="J76" s="71"/>
      <c r="K76" s="71"/>
      <c r="L76" s="71"/>
      <c r="M76" s="71"/>
      <c r="N76" s="71"/>
      <c r="O76" s="71"/>
    </row>
    <row r="77" spans="1:15" s="310" customFormat="1" ht="16.149999999999999" customHeight="1" x14ac:dyDescent="0.25">
      <c r="A77" s="25"/>
      <c r="B77" s="25"/>
      <c r="C77" s="25"/>
      <c r="D77" s="25"/>
      <c r="E77" s="25"/>
      <c r="F77" s="25"/>
      <c r="H77" s="71"/>
      <c r="I77" s="71"/>
      <c r="J77" s="71"/>
      <c r="K77" s="71"/>
      <c r="L77" s="71"/>
      <c r="M77" s="71"/>
      <c r="N77" s="71"/>
      <c r="O77" s="71"/>
    </row>
    <row r="78" spans="1:15" s="310" customFormat="1" ht="13.9" customHeight="1" x14ac:dyDescent="0.25">
      <c r="A78" s="25"/>
      <c r="B78" s="25"/>
      <c r="C78" s="25"/>
      <c r="D78" s="25"/>
      <c r="E78" s="25"/>
      <c r="F78" s="25"/>
      <c r="H78" s="71"/>
      <c r="I78" s="71"/>
      <c r="J78" s="71"/>
      <c r="K78" s="71"/>
      <c r="L78" s="71"/>
      <c r="M78" s="71"/>
      <c r="N78" s="71"/>
      <c r="O78" s="71"/>
    </row>
    <row r="79" spans="1:15" s="310" customFormat="1" ht="13.9" customHeight="1" x14ac:dyDescent="0.25">
      <c r="A79" s="25"/>
      <c r="B79" s="25"/>
      <c r="C79" s="25"/>
      <c r="D79" s="25"/>
      <c r="E79" s="25"/>
      <c r="F79" s="25"/>
      <c r="H79" s="71"/>
      <c r="I79" s="71"/>
      <c r="J79" s="71"/>
      <c r="K79" s="71"/>
      <c r="L79" s="71"/>
      <c r="M79" s="71"/>
      <c r="N79" s="71"/>
      <c r="O79" s="71"/>
    </row>
    <row r="80" spans="1:15" ht="15" customHeight="1" x14ac:dyDescent="0.25">
      <c r="G80" s="28"/>
      <c r="H80" s="28"/>
      <c r="I80" s="28"/>
      <c r="J80" s="28"/>
      <c r="K80" s="28"/>
      <c r="L80" s="28"/>
      <c r="M80" s="28"/>
      <c r="N80" s="28"/>
      <c r="O80" s="28"/>
    </row>
    <row r="81" spans="7:15" x14ac:dyDescent="0.25">
      <c r="G81" s="28"/>
      <c r="H81" s="28"/>
      <c r="I81" s="28"/>
      <c r="J81" s="28"/>
      <c r="K81" s="28"/>
      <c r="L81" s="28"/>
      <c r="M81" s="28"/>
      <c r="N81" s="28"/>
      <c r="O81" s="28"/>
    </row>
    <row r="82" spans="7:15" x14ac:dyDescent="0.25">
      <c r="G82" s="28"/>
      <c r="H82" s="28"/>
      <c r="I82" s="28"/>
      <c r="J82" s="28"/>
      <c r="K82" s="28"/>
      <c r="L82" s="28"/>
      <c r="M82" s="28"/>
      <c r="N82" s="28"/>
      <c r="O82" s="28"/>
    </row>
  </sheetData>
  <mergeCells count="14">
    <mergeCell ref="C7:C8"/>
    <mergeCell ref="A10:D13"/>
    <mergeCell ref="A72:D72"/>
    <mergeCell ref="A73:D73"/>
    <mergeCell ref="A15:D15"/>
    <mergeCell ref="A67:D67"/>
    <mergeCell ref="A68:D68"/>
    <mergeCell ref="A69:D69"/>
    <mergeCell ref="A70:D70"/>
    <mergeCell ref="A71:D71"/>
    <mergeCell ref="C59:E59"/>
    <mergeCell ref="C60:E60"/>
    <mergeCell ref="C61:E61"/>
    <mergeCell ref="C62:E62"/>
  </mergeCells>
  <pageMargins left="0.75" right="0.75" top="1" bottom="1" header="0.5" footer="0.5"/>
  <pageSetup scale="72" orientation="portrait" r:id="rId1"/>
  <headerFooter alignWithMargins="0">
    <oddHeader xml:space="preserve">&amp;C&amp;F&amp;L
</oddHeader>
    <oddFooter xml:space="preserve">&amp;C&amp;A&amp;L
</oddFooter>
  </headerFooter>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pageSetUpPr fitToPage="1"/>
  </sheetPr>
  <dimension ref="A1:O88"/>
  <sheetViews>
    <sheetView zoomScaleNormal="100" workbookViewId="0">
      <selection activeCell="F1" sqref="F1"/>
    </sheetView>
  </sheetViews>
  <sheetFormatPr defaultColWidth="9.1796875" defaultRowHeight="12.5" x14ac:dyDescent="0.25"/>
  <cols>
    <col min="1" max="1" width="31.1796875" style="25" customWidth="1"/>
    <col min="2" max="2" width="28.453125" style="25" customWidth="1"/>
    <col min="3" max="3" width="23.26953125" style="25" customWidth="1"/>
    <col min="4" max="4" width="14.1796875" style="25" customWidth="1"/>
    <col min="5" max="5" width="24.453125" style="25" customWidth="1"/>
    <col min="6" max="6" width="86.7265625" style="25" bestFit="1" customWidth="1"/>
    <col min="7" max="7" width="9.1796875" style="25"/>
    <col min="8" max="8" width="9.1796875" style="25" hidden="1" customWidth="1"/>
    <col min="9" max="16384" width="9.1796875" style="25"/>
  </cols>
  <sheetData>
    <row r="1" spans="1:11" customFormat="1" ht="20.25" customHeight="1" x14ac:dyDescent="0.25">
      <c r="A1" s="25"/>
      <c r="B1" s="25"/>
      <c r="C1" s="78"/>
      <c r="D1" s="158" t="s">
        <v>145</v>
      </c>
      <c r="E1" s="159" t="str">
        <f>Ballast!$I$1</f>
        <v>4095-GBPSH</v>
      </c>
    </row>
    <row r="2" spans="1:11" customFormat="1" ht="20.25" customHeight="1" x14ac:dyDescent="0.25">
      <c r="A2" s="25"/>
      <c r="B2" s="25"/>
      <c r="C2" s="78"/>
      <c r="D2" s="160" t="s">
        <v>146</v>
      </c>
      <c r="E2" s="161" t="str">
        <f>Ballast!$I$2</f>
        <v>H</v>
      </c>
    </row>
    <row r="3" spans="1:11" customFormat="1" ht="20.25" customHeight="1" x14ac:dyDescent="0.25">
      <c r="A3" s="25"/>
      <c r="B3" s="25"/>
      <c r="C3" s="78"/>
      <c r="D3" s="160" t="s">
        <v>1</v>
      </c>
      <c r="E3" s="162">
        <f>Ballast!$I$3</f>
        <v>44888</v>
      </c>
    </row>
    <row r="4" spans="1:11" customFormat="1" ht="20.25" customHeight="1" thickBot="1" x14ac:dyDescent="0.3">
      <c r="A4" s="25"/>
      <c r="B4" s="25"/>
      <c r="C4" s="78"/>
      <c r="D4" s="163" t="s">
        <v>147</v>
      </c>
      <c r="E4" s="164">
        <f>Ballast!$I$4</f>
        <v>14841</v>
      </c>
    </row>
    <row r="5" spans="1:11" customFormat="1" ht="15" customHeight="1" thickBot="1" x14ac:dyDescent="0.3">
      <c r="A5" s="25"/>
      <c r="B5" s="25"/>
      <c r="C5" s="78"/>
      <c r="D5" s="78"/>
      <c r="E5" s="78"/>
    </row>
    <row r="6" spans="1:11" customFormat="1" ht="6.75" customHeight="1" thickTop="1" thickBot="1" x14ac:dyDescent="0.3">
      <c r="A6" s="195"/>
      <c r="B6" s="195"/>
      <c r="C6" s="168"/>
      <c r="D6" s="168"/>
      <c r="E6" s="168"/>
    </row>
    <row r="7" spans="1:11" ht="13" x14ac:dyDescent="0.3">
      <c r="A7" s="155" t="s">
        <v>34</v>
      </c>
      <c r="B7" s="375" t="str">
        <f>IF(ISBLANK(Ballast!D15),"",Ballast!D15)</f>
        <v>amlr05</v>
      </c>
      <c r="C7" s="550" t="str">
        <f>IF(Ballast!D18=Constants!B15,"",IF(Ballast!D18=Constants!B16,"",IF(Ballast!D18=Constants!B17,"","Wrong Generation Glider Selected")))</f>
        <v/>
      </c>
      <c r="D7" s="78"/>
      <c r="E7" s="78"/>
      <c r="F7" s="31"/>
    </row>
    <row r="8" spans="1:11" ht="14.25" customHeight="1" thickBot="1" x14ac:dyDescent="0.35">
      <c r="A8" s="156" t="s">
        <v>1</v>
      </c>
      <c r="B8" s="376">
        <f>IF(ISBLANK(Ballast!D17),"",Ballast!D17)</f>
        <v>46293</v>
      </c>
      <c r="C8" s="550"/>
      <c r="D8" s="78"/>
      <c r="E8" s="78"/>
      <c r="F8" s="31"/>
    </row>
    <row r="9" spans="1:11" ht="18" customHeight="1" x14ac:dyDescent="0.25">
      <c r="A9" s="379"/>
      <c r="B9" s="379"/>
      <c r="C9" s="379"/>
      <c r="D9" s="379"/>
      <c r="F9" s="31"/>
      <c r="G9" s="312" t="s">
        <v>202</v>
      </c>
      <c r="H9" s="312" t="s">
        <v>203</v>
      </c>
    </row>
    <row r="10" spans="1:11" ht="24.65" customHeight="1" x14ac:dyDescent="0.25">
      <c r="A10" s="551" t="str">
        <f>VLOOKUP(Constants!B104, Constants!B101:D102, 3, FALSE)</f>
        <v>Picture 6</v>
      </c>
      <c r="B10" s="551"/>
      <c r="C10" s="551"/>
      <c r="D10" s="551"/>
      <c r="E10" s="78"/>
      <c r="F10" s="31"/>
      <c r="G10" s="312" t="s">
        <v>206</v>
      </c>
      <c r="H10" s="312" t="s">
        <v>204</v>
      </c>
    </row>
    <row r="11" spans="1:11" ht="28.9" customHeight="1" x14ac:dyDescent="0.25">
      <c r="A11" s="551"/>
      <c r="B11" s="551"/>
      <c r="C11" s="551"/>
      <c r="D11" s="551"/>
      <c r="E11" s="318"/>
      <c r="F11" s="31"/>
      <c r="G11" s="312" t="s">
        <v>207</v>
      </c>
      <c r="H11" s="312" t="s">
        <v>205</v>
      </c>
    </row>
    <row r="12" spans="1:11" ht="29.5" customHeight="1" x14ac:dyDescent="0.25">
      <c r="A12" s="551"/>
      <c r="B12" s="551"/>
      <c r="C12" s="551"/>
      <c r="D12" s="551"/>
      <c r="E12" s="78"/>
      <c r="F12" s="31"/>
    </row>
    <row r="13" spans="1:11" ht="19.899999999999999" customHeight="1" x14ac:dyDescent="0.25">
      <c r="A13" s="551"/>
      <c r="B13" s="551"/>
      <c r="C13" s="551"/>
      <c r="D13" s="551"/>
      <c r="E13" s="78"/>
      <c r="F13" s="31"/>
    </row>
    <row r="14" spans="1:11" ht="15" customHeight="1" x14ac:dyDescent="0.25">
      <c r="A14" s="379"/>
      <c r="B14" s="379"/>
      <c r="C14" s="379"/>
      <c r="D14" s="379"/>
      <c r="E14" s="78"/>
      <c r="F14" s="31"/>
    </row>
    <row r="15" spans="1:11" ht="13" x14ac:dyDescent="0.3">
      <c r="A15" s="547" t="s">
        <v>154</v>
      </c>
      <c r="B15" s="547"/>
      <c r="C15" s="547"/>
      <c r="D15" s="547"/>
      <c r="E15" s="78"/>
      <c r="F15" s="31"/>
    </row>
    <row r="16" spans="1:11" ht="13" thickBot="1" x14ac:dyDescent="0.3">
      <c r="A16" s="32"/>
      <c r="C16" s="78"/>
      <c r="D16" s="78"/>
      <c r="E16" s="78"/>
      <c r="F16" s="31"/>
      <c r="J16" s="312"/>
      <c r="K16" s="312"/>
    </row>
    <row r="17" spans="1:11" ht="13" x14ac:dyDescent="0.3">
      <c r="A17" s="33" t="s">
        <v>55</v>
      </c>
      <c r="B17" s="34"/>
      <c r="C17" s="169"/>
      <c r="D17" s="170"/>
      <c r="E17" s="78"/>
      <c r="F17" s="31"/>
      <c r="J17" s="312"/>
      <c r="K17" s="312"/>
    </row>
    <row r="18" spans="1:11" ht="13" x14ac:dyDescent="0.3">
      <c r="A18" s="36"/>
      <c r="B18" s="37" t="s">
        <v>44</v>
      </c>
      <c r="C18" s="73"/>
      <c r="D18" s="38" t="s">
        <v>8</v>
      </c>
      <c r="E18" s="322" t="str">
        <f>IF(C18&gt;5000,"Error: scale reading too high",IF(C18&lt;0,"Error: scale reading should be positive",""))</f>
        <v/>
      </c>
      <c r="F18" s="31"/>
      <c r="J18" s="312"/>
      <c r="K18" s="312"/>
    </row>
    <row r="19" spans="1:11" ht="13" x14ac:dyDescent="0.3">
      <c r="A19" s="39"/>
      <c r="B19" s="40" t="s">
        <v>45</v>
      </c>
      <c r="C19" s="73"/>
      <c r="D19" s="38" t="s">
        <v>8</v>
      </c>
      <c r="E19" s="322" t="str">
        <f>IF(C19&gt;5000,"Error: scale reading too high",IF(C19&lt;0,"Error: scale reading should be positive",""))</f>
        <v/>
      </c>
      <c r="F19" s="31"/>
      <c r="J19" s="312"/>
      <c r="K19" s="312"/>
    </row>
    <row r="20" spans="1:11" x14ac:dyDescent="0.25">
      <c r="A20" s="39"/>
      <c r="B20" s="40" t="s">
        <v>46</v>
      </c>
      <c r="C20" s="175">
        <f>Ballast!H46</f>
        <v>-978.46065047594232</v>
      </c>
      <c r="D20" s="38" t="s">
        <v>8</v>
      </c>
      <c r="E20" s="78"/>
      <c r="F20" s="31"/>
    </row>
    <row r="21" spans="1:11" ht="13" x14ac:dyDescent="0.3">
      <c r="A21" s="41"/>
      <c r="B21" s="42" t="str">
        <f>IF((C18+C19-C20)&gt;0,"Total weight to remove:","Total weight to add:")</f>
        <v>Total weight to remove:</v>
      </c>
      <c r="C21" s="177">
        <f>ABS(C18+C19-C20)</f>
        <v>978.46065047594232</v>
      </c>
      <c r="D21" s="43" t="s">
        <v>8</v>
      </c>
      <c r="E21" s="78"/>
      <c r="F21" s="31"/>
    </row>
    <row r="22" spans="1:11" x14ac:dyDescent="0.25">
      <c r="A22" s="174"/>
      <c r="B22" s="178"/>
      <c r="C22" s="179"/>
      <c r="D22" s="38"/>
      <c r="E22" s="78"/>
      <c r="F22" s="31"/>
    </row>
    <row r="23" spans="1:11" x14ac:dyDescent="0.25">
      <c r="A23" s="174"/>
      <c r="B23" s="45" t="s">
        <v>43</v>
      </c>
      <c r="C23" s="46" t="s">
        <v>47</v>
      </c>
      <c r="D23" s="38"/>
      <c r="E23" s="78"/>
      <c r="F23" s="31"/>
    </row>
    <row r="24" spans="1:11" x14ac:dyDescent="0.25">
      <c r="A24" s="174"/>
      <c r="B24" s="47" t="s">
        <v>60</v>
      </c>
      <c r="C24" s="47" t="s">
        <v>60</v>
      </c>
      <c r="D24" s="38"/>
      <c r="E24" s="78"/>
      <c r="F24" s="31"/>
    </row>
    <row r="25" spans="1:11" x14ac:dyDescent="0.25">
      <c r="A25" s="48" t="s">
        <v>211</v>
      </c>
      <c r="B25" s="201">
        <v>1</v>
      </c>
      <c r="C25" s="180">
        <f>B25-$C$31</f>
        <v>-33.757180087086716</v>
      </c>
      <c r="D25" s="38"/>
      <c r="E25" s="25" t="str">
        <f>IF(B25&lt;-10,"Error: Check scale position",IF(B25&gt;30, "Error, check scale position",""))</f>
        <v/>
      </c>
      <c r="F25" s="31"/>
    </row>
    <row r="26" spans="1:11" x14ac:dyDescent="0.25">
      <c r="A26" s="48" t="s">
        <v>212</v>
      </c>
      <c r="B26" s="201">
        <f>Constants!C96-1</f>
        <v>65.024360174173438</v>
      </c>
      <c r="C26" s="180">
        <f>B26-$C$31</f>
        <v>30.267180087086722</v>
      </c>
      <c r="D26" s="38"/>
      <c r="E26" s="25" t="str">
        <f>IF(B26&lt;20,"Error: Check scale position",IF(B26&gt;70, "Error, check scale position",""))</f>
        <v/>
      </c>
      <c r="F26" s="31"/>
    </row>
    <row r="27" spans="1:11" x14ac:dyDescent="0.25">
      <c r="A27" s="39"/>
      <c r="B27" s="27"/>
      <c r="C27" s="178"/>
      <c r="D27" s="38"/>
      <c r="E27" s="78"/>
      <c r="F27" s="31"/>
    </row>
    <row r="28" spans="1:11" ht="13.5" thickBot="1" x14ac:dyDescent="0.35">
      <c r="A28" s="49"/>
      <c r="B28" s="50" t="s">
        <v>68</v>
      </c>
      <c r="C28" s="167">
        <f>(C18*C25)+(C19*C26)</f>
        <v>0</v>
      </c>
      <c r="D28" s="51" t="s">
        <v>35</v>
      </c>
      <c r="E28" s="78"/>
      <c r="F28" s="31"/>
    </row>
    <row r="29" spans="1:11" ht="13" thickBot="1" x14ac:dyDescent="0.3">
      <c r="A29" s="178"/>
      <c r="B29" s="183"/>
      <c r="C29" s="178"/>
      <c r="D29" s="178"/>
      <c r="E29" s="178"/>
      <c r="F29" s="52" t="s">
        <v>74</v>
      </c>
    </row>
    <row r="30" spans="1:11" ht="13" x14ac:dyDescent="0.3">
      <c r="A30" s="53" t="s">
        <v>41</v>
      </c>
      <c r="B30" s="169"/>
      <c r="C30" s="169"/>
      <c r="D30" s="170"/>
      <c r="E30" s="178"/>
      <c r="F30" s="31" t="s">
        <v>56</v>
      </c>
    </row>
    <row r="31" spans="1:11" x14ac:dyDescent="0.25">
      <c r="A31" s="39"/>
      <c r="B31" s="54" t="s">
        <v>40</v>
      </c>
      <c r="C31" s="74">
        <f>Constants!E96</f>
        <v>34.757180087086716</v>
      </c>
      <c r="D31" s="184"/>
      <c r="E31" s="178"/>
      <c r="F31" s="31" t="s">
        <v>42</v>
      </c>
    </row>
    <row r="32" spans="1:11" ht="13" thickBot="1" x14ac:dyDescent="0.3">
      <c r="A32" s="39"/>
      <c r="B32" s="178"/>
      <c r="C32" s="178"/>
      <c r="D32" s="172"/>
      <c r="E32" s="178"/>
      <c r="F32" s="31" t="s">
        <v>62</v>
      </c>
    </row>
    <row r="33" spans="1:6" x14ac:dyDescent="0.25">
      <c r="A33" s="55" t="s">
        <v>210</v>
      </c>
      <c r="B33" s="55" t="s">
        <v>213</v>
      </c>
      <c r="C33" s="55" t="s">
        <v>61</v>
      </c>
      <c r="D33" s="172"/>
      <c r="E33" s="178"/>
      <c r="F33" s="31" t="s">
        <v>80</v>
      </c>
    </row>
    <row r="34" spans="1:6" ht="13" thickBot="1" x14ac:dyDescent="0.3">
      <c r="A34" s="56"/>
      <c r="B34" s="56" t="s">
        <v>60</v>
      </c>
      <c r="C34" s="56" t="s">
        <v>60</v>
      </c>
      <c r="D34" s="172"/>
      <c r="E34" s="178"/>
      <c r="F34" s="31" t="s">
        <v>81</v>
      </c>
    </row>
    <row r="35" spans="1:6" x14ac:dyDescent="0.25">
      <c r="A35" s="386" t="s">
        <v>277</v>
      </c>
      <c r="B35" s="427">
        <v>-4.55</v>
      </c>
      <c r="C35" s="424">
        <f>B35-C$31</f>
        <v>-39.307180087086714</v>
      </c>
      <c r="D35" s="172"/>
      <c r="E35" s="178"/>
      <c r="F35" s="31"/>
    </row>
    <row r="36" spans="1:6" x14ac:dyDescent="0.25">
      <c r="A36" s="48" t="s">
        <v>270</v>
      </c>
      <c r="B36" s="421">
        <f>VLOOKUP(Ballast!D18,Constants!B13:Q17,15,FALSE)</f>
        <v>0</v>
      </c>
      <c r="C36" s="425">
        <f t="shared" ref="C36:C43" si="0">B36-C$31</f>
        <v>-34.757180087086716</v>
      </c>
      <c r="D36" s="172"/>
      <c r="E36" s="178"/>
      <c r="F36" s="31"/>
    </row>
    <row r="37" spans="1:6" x14ac:dyDescent="0.25">
      <c r="A37" s="384" t="s">
        <v>271</v>
      </c>
      <c r="B37" s="428">
        <f>VLOOKUP(Ballast!D18,Constants!B13:Q17,16,FALSE)+IF(ISNA(B36),0,B36)</f>
        <v>0</v>
      </c>
      <c r="C37" s="425">
        <f t="shared" si="0"/>
        <v>-34.757180087086716</v>
      </c>
      <c r="D37" s="172"/>
      <c r="E37" s="178"/>
    </row>
    <row r="38" spans="1:6" x14ac:dyDescent="0.25">
      <c r="A38" s="384" t="s">
        <v>274</v>
      </c>
      <c r="B38" s="421">
        <f>IF(Ballast!D22&lt;&gt;"None",Constants!C92,#N/A)</f>
        <v>19.785620082003149</v>
      </c>
      <c r="C38" s="425">
        <f t="shared" si="0"/>
        <v>-14.971560005083568</v>
      </c>
      <c r="D38" s="172"/>
      <c r="E38" s="178"/>
      <c r="F38" s="31"/>
    </row>
    <row r="39" spans="1:6" x14ac:dyDescent="0.25">
      <c r="A39" s="384" t="s">
        <v>275</v>
      </c>
      <c r="B39" s="422">
        <f>IF(Ballast!D22&lt;&gt;"None",B38+Constants!C92,Constants!C92)</f>
        <v>39.571240164006298</v>
      </c>
      <c r="C39" s="425">
        <f t="shared" si="0"/>
        <v>4.8140600769195814</v>
      </c>
      <c r="D39" s="172"/>
      <c r="E39" s="178"/>
      <c r="F39" s="31"/>
    </row>
    <row r="40" spans="1:6" x14ac:dyDescent="0.25">
      <c r="A40" s="384" t="s">
        <v>48</v>
      </c>
      <c r="B40" s="421">
        <f>Constants!C96*0.5</f>
        <v>33.012180087086719</v>
      </c>
      <c r="C40" s="425">
        <f t="shared" si="0"/>
        <v>-1.7449999999999974</v>
      </c>
      <c r="D40" s="172"/>
      <c r="E40" s="178"/>
      <c r="F40" s="31"/>
    </row>
    <row r="41" spans="1:6" x14ac:dyDescent="0.25">
      <c r="A41" s="384" t="s">
        <v>272</v>
      </c>
      <c r="B41" s="422">
        <f>B39+0.5*Constants!C94</f>
        <v>44.847405519207136</v>
      </c>
      <c r="C41" s="425">
        <f t="shared" si="0"/>
        <v>10.09022543212042</v>
      </c>
      <c r="D41" s="172"/>
      <c r="E41" s="178"/>
      <c r="F41" s="31"/>
    </row>
    <row r="42" spans="1:6" x14ac:dyDescent="0.25">
      <c r="A42" s="384" t="s">
        <v>276</v>
      </c>
      <c r="B42" s="421">
        <f>B39+Constants!C94</f>
        <v>50.123570874407974</v>
      </c>
      <c r="C42" s="425">
        <f t="shared" si="0"/>
        <v>15.366390787321258</v>
      </c>
      <c r="D42" s="172"/>
      <c r="E42" s="178"/>
      <c r="F42" s="455">
        <f>13.6818+Constants!C93+Constants!C94+IF(Ballast!D22&lt;&gt;"None",IF(Ballast!D22&lt;&gt;"None",Constants!C92,#N/A)+Constants!C92,Constants!C92)</f>
        <v>85.056592443966906</v>
      </c>
    </row>
    <row r="43" spans="1:6" x14ac:dyDescent="0.25">
      <c r="A43" s="384" t="s">
        <v>278</v>
      </c>
      <c r="B43" s="421">
        <f>B42+Constants!C93</f>
        <v>71.374792443966911</v>
      </c>
      <c r="C43" s="425">
        <f t="shared" si="0"/>
        <v>36.617612356880194</v>
      </c>
      <c r="D43" s="172"/>
      <c r="E43" s="178"/>
      <c r="F43" s="31"/>
    </row>
    <row r="44" spans="1:6" x14ac:dyDescent="0.25">
      <c r="A44" s="48" t="s">
        <v>273</v>
      </c>
      <c r="B44" s="421">
        <f>B42+0.64+Constants!C93</f>
        <v>72.014792443966911</v>
      </c>
      <c r="C44" s="425">
        <f>B44-C$31</f>
        <v>37.257612356880195</v>
      </c>
      <c r="D44" s="172"/>
      <c r="E44" s="178"/>
      <c r="F44" s="31"/>
    </row>
    <row r="45" spans="1:6" ht="13" thickBot="1" x14ac:dyDescent="0.3">
      <c r="A45" s="385" t="s">
        <v>295</v>
      </c>
      <c r="B45" s="423">
        <f>B43+13.6818</f>
        <v>85.056592443966906</v>
      </c>
      <c r="C45" s="426">
        <f>B45-C$31</f>
        <v>50.29941235688019</v>
      </c>
      <c r="D45" s="185"/>
      <c r="E45" s="178"/>
      <c r="F45" s="31"/>
    </row>
    <row r="46" spans="1:6" ht="13" thickBot="1" x14ac:dyDescent="0.3">
      <c r="B46" s="78"/>
      <c r="C46" s="78"/>
      <c r="D46" s="78"/>
      <c r="E46" s="78"/>
      <c r="F46" s="31"/>
    </row>
    <row r="47" spans="1:6" ht="17.5" customHeight="1" x14ac:dyDescent="0.3">
      <c r="A47" s="53" t="s">
        <v>209</v>
      </c>
      <c r="B47" s="169"/>
      <c r="C47" s="169"/>
      <c r="D47" s="170"/>
      <c r="E47" s="78"/>
      <c r="F47" s="31"/>
    </row>
    <row r="48" spans="1:6" ht="1.9" customHeight="1" thickBot="1" x14ac:dyDescent="0.3">
      <c r="A48" s="39"/>
      <c r="B48" s="178"/>
      <c r="C48" s="178"/>
      <c r="D48" s="172"/>
      <c r="E48" s="78"/>
      <c r="F48" s="31"/>
    </row>
    <row r="49" spans="1:6" ht="25" x14ac:dyDescent="0.25">
      <c r="A49" s="55" t="s">
        <v>69</v>
      </c>
      <c r="B49" s="55" t="s">
        <v>53</v>
      </c>
      <c r="C49" s="34" t="s">
        <v>208</v>
      </c>
      <c r="D49" s="154" t="s">
        <v>222</v>
      </c>
      <c r="E49" s="190" t="s">
        <v>82</v>
      </c>
      <c r="F49" s="31"/>
    </row>
    <row r="50" spans="1:6" ht="13" thickBot="1" x14ac:dyDescent="0.3">
      <c r="A50" s="58" t="s">
        <v>70</v>
      </c>
      <c r="B50" s="56"/>
      <c r="C50" s="59" t="s">
        <v>58</v>
      </c>
      <c r="D50" s="58" t="s">
        <v>59</v>
      </c>
      <c r="E50" s="191" t="s">
        <v>214</v>
      </c>
      <c r="F50" s="31"/>
    </row>
    <row r="51" spans="1:6" x14ac:dyDescent="0.25">
      <c r="A51" s="75">
        <v>1</v>
      </c>
      <c r="B51" s="35" t="str">
        <f t="shared" ref="B51:B59" si="1">A35</f>
        <v>Nose Slugs</v>
      </c>
      <c r="C51" s="76">
        <v>0</v>
      </c>
      <c r="D51" s="389">
        <f>C51*C35</f>
        <v>0</v>
      </c>
      <c r="E51" s="387"/>
      <c r="F51" s="31"/>
    </row>
    <row r="52" spans="1:6" ht="13" x14ac:dyDescent="0.25">
      <c r="A52" s="419">
        <f>IF(Ballast!D18=Constants!B15,1,0)</f>
        <v>0</v>
      </c>
      <c r="B52" s="38" t="str">
        <f t="shared" si="1"/>
        <v>FWD Plates</v>
      </c>
      <c r="C52" s="76">
        <v>0</v>
      </c>
      <c r="D52" s="390">
        <f t="shared" ref="D52:D58" si="2">C36*C52</f>
        <v>0</v>
      </c>
      <c r="F52" s="388" t="str">
        <f t="shared" ref="F52:F62" si="3">IF(ABS(C52)&gt;5000,"Error: Weight adjustment too high","")</f>
        <v/>
      </c>
    </row>
    <row r="53" spans="1:6" ht="13" x14ac:dyDescent="0.25">
      <c r="A53" s="76">
        <v>1</v>
      </c>
      <c r="B53" s="38" t="str">
        <f t="shared" si="1"/>
        <v>FWD Ballast Bottles</v>
      </c>
      <c r="C53" s="76">
        <v>0</v>
      </c>
      <c r="D53" s="390">
        <f t="shared" si="2"/>
        <v>0</v>
      </c>
      <c r="E53" s="80"/>
      <c r="F53" s="82" t="str">
        <f t="shared" si="3"/>
        <v/>
      </c>
    </row>
    <row r="54" spans="1:6" ht="13" x14ac:dyDescent="0.25">
      <c r="A54" s="419">
        <f>IF(Ballast!D22&lt;&gt;"None",1,0)</f>
        <v>1</v>
      </c>
      <c r="B54" s="38" t="str">
        <f t="shared" si="1"/>
        <v>FWD Secondary Bay Pie Weights</v>
      </c>
      <c r="C54" s="76">
        <v>0</v>
      </c>
      <c r="D54" s="390">
        <f t="shared" si="2"/>
        <v>0</v>
      </c>
      <c r="E54" s="80"/>
      <c r="F54" s="82" t="str">
        <f t="shared" si="3"/>
        <v/>
      </c>
    </row>
    <row r="55" spans="1:6" ht="13" x14ac:dyDescent="0.25">
      <c r="A55" s="76">
        <v>1</v>
      </c>
      <c r="B55" s="38" t="str">
        <f t="shared" si="1"/>
        <v>FWD Primary Pie Weights</v>
      </c>
      <c r="C55" s="76">
        <v>0</v>
      </c>
      <c r="D55" s="390">
        <f t="shared" si="2"/>
        <v>0</v>
      </c>
      <c r="E55" s="80"/>
      <c r="F55" s="82" t="str">
        <f t="shared" si="3"/>
        <v/>
      </c>
    </row>
    <row r="56" spans="1:6" ht="13" x14ac:dyDescent="0.25">
      <c r="A56" s="76">
        <v>1</v>
      </c>
      <c r="B56" s="38" t="str">
        <f t="shared" si="1"/>
        <v>Center</v>
      </c>
      <c r="C56" s="76">
        <v>0</v>
      </c>
      <c r="D56" s="390">
        <f t="shared" si="2"/>
        <v>0</v>
      </c>
      <c r="E56" s="80"/>
      <c r="F56" s="82" t="str">
        <f t="shared" si="3"/>
        <v/>
      </c>
    </row>
    <row r="57" spans="1:6" ht="13" x14ac:dyDescent="0.25">
      <c r="A57" s="76">
        <v>1</v>
      </c>
      <c r="B57" s="38" t="str">
        <f t="shared" si="1"/>
        <v>Wing Rail Slugs</v>
      </c>
      <c r="C57" s="76">
        <v>0</v>
      </c>
      <c r="D57" s="390">
        <f t="shared" si="2"/>
        <v>0</v>
      </c>
      <c r="E57" s="80"/>
      <c r="F57" s="82" t="str">
        <f t="shared" si="3"/>
        <v/>
      </c>
    </row>
    <row r="58" spans="1:6" ht="13" x14ac:dyDescent="0.25">
      <c r="A58" s="76">
        <v>1</v>
      </c>
      <c r="B58" s="38" t="str">
        <f t="shared" si="1"/>
        <v>AFT Primary Bay Pie Weights</v>
      </c>
      <c r="C58" s="76">
        <v>0</v>
      </c>
      <c r="D58" s="390">
        <f t="shared" si="2"/>
        <v>0</v>
      </c>
      <c r="E58" s="80"/>
      <c r="F58" s="82" t="str">
        <f t="shared" si="3"/>
        <v/>
      </c>
    </row>
    <row r="59" spans="1:6" ht="13" x14ac:dyDescent="0.25">
      <c r="A59" s="76">
        <v>1</v>
      </c>
      <c r="B59" s="38" t="str">
        <f t="shared" si="1"/>
        <v>AFT Cap Pie Weights</v>
      </c>
      <c r="C59" s="76">
        <v>0</v>
      </c>
      <c r="D59" s="390">
        <f>C43*C59</f>
        <v>0</v>
      </c>
      <c r="E59" s="81"/>
      <c r="F59" s="82" t="str">
        <f t="shared" si="3"/>
        <v/>
      </c>
    </row>
    <row r="60" spans="1:6" ht="13" x14ac:dyDescent="0.25">
      <c r="A60" s="76">
        <v>1</v>
      </c>
      <c r="B60" s="38" t="str">
        <f>A44</f>
        <v>AFT Ballast Bottles</v>
      </c>
      <c r="C60" s="76">
        <v>0</v>
      </c>
      <c r="D60" s="390">
        <f>C60*C44</f>
        <v>0</v>
      </c>
      <c r="E60" s="178"/>
      <c r="F60" s="82" t="str">
        <f t="shared" si="3"/>
        <v/>
      </c>
    </row>
    <row r="61" spans="1:6" ht="13.5" thickBot="1" x14ac:dyDescent="0.3">
      <c r="A61" s="77">
        <v>1</v>
      </c>
      <c r="B61" s="57" t="str">
        <f>A45</f>
        <v xml:space="preserve">Thruster Slugs </v>
      </c>
      <c r="C61" s="77">
        <v>0</v>
      </c>
      <c r="D61" s="391">
        <f>C61*C45</f>
        <v>0</v>
      </c>
      <c r="E61" s="178"/>
      <c r="F61" s="82" t="str">
        <f t="shared" si="3"/>
        <v/>
      </c>
    </row>
    <row r="62" spans="1:6" ht="13.5" thickBot="1" x14ac:dyDescent="0.35">
      <c r="A62" s="182"/>
      <c r="B62" s="188"/>
      <c r="C62" s="167">
        <f>SUM(C51:C61)</f>
        <v>0</v>
      </c>
      <c r="D62" s="189">
        <f>SUMIF(D51:D61,"&lt;&gt;#N/A")</f>
        <v>0</v>
      </c>
      <c r="E62" s="78"/>
      <c r="F62" s="82" t="str">
        <f t="shared" si="3"/>
        <v/>
      </c>
    </row>
    <row r="63" spans="1:6" ht="27" customHeight="1" thickBot="1" x14ac:dyDescent="0.3">
      <c r="A63" s="78"/>
      <c r="B63" s="78"/>
      <c r="C63" s="78"/>
      <c r="D63" s="78"/>
      <c r="E63" s="78"/>
      <c r="F63" s="31"/>
    </row>
    <row r="64" spans="1:6" ht="13.5" thickBot="1" x14ac:dyDescent="0.35">
      <c r="A64" s="381" t="s">
        <v>215</v>
      </c>
      <c r="B64" s="382"/>
      <c r="C64" s="382"/>
      <c r="D64" s="382"/>
      <c r="E64" s="383"/>
      <c r="F64" s="61"/>
    </row>
    <row r="65" spans="1:8" ht="13" x14ac:dyDescent="0.3">
      <c r="A65" s="39"/>
      <c r="B65" s="62">
        <f>ABS((C18+C19-C20)+C62)</f>
        <v>978.46065047594232</v>
      </c>
      <c r="C65" s="554" t="str">
        <f>IF(((C18+C19-C20)+C62)&gt;=0,"Additional grams need to be removed", "Additional grams need to be added")</f>
        <v>Additional grams need to be removed</v>
      </c>
      <c r="D65" s="554"/>
      <c r="E65" s="555"/>
      <c r="F65" s="52"/>
      <c r="H65" s="25">
        <f>IF(A51,1,IF(A52,2,IF(A53,3,IF(A54,4,IF(A55,5,IF(A56,6,IF(A57,7,IF(A58,8,IF(A59,9,IF(A60,10,IF(A61,11,"Error")))))))))))</f>
        <v>1</v>
      </c>
    </row>
    <row r="66" spans="1:8" x14ac:dyDescent="0.25">
      <c r="A66" s="39"/>
      <c r="B66" s="44">
        <f>ABS((C28+D62)/(INDEX(C35:C45,IF(A61,11,IF(A60,10,IF(A59,9,IF(A58,8,IF(A57,7,IF(A56,6,IF(A55,5,"error"))))))))-INDEX(C35:C45,IF(A51,1,IF(A52,2,IF(A53,3,IF(A54,4,IF(A5,5,IF(A56,6,IF(A57,7,"Error"))))))))))</f>
        <v>0</v>
      </c>
      <c r="C66" s="556" t="str">
        <f>CONCATENATE("Grams need to move from ",IF((C28+D62)&lt;=0,INDEX(A35:A45,H65,1),INDEX(A35:A45,H66,1))," to ",IF((C28+D62)&lt;=0,INDEX(A35:A45,H66,1),INDEX(A35:A45,H65,1)))</f>
        <v xml:space="preserve">Grams need to move from Nose Slugs to Thruster Slugs </v>
      </c>
      <c r="D66" s="556"/>
      <c r="E66" s="557"/>
      <c r="F66" s="52"/>
      <c r="H66" s="25">
        <f>IF(A61,11,IF(A60,10,IF(A59,9,IF(A58,8,IF(A57,7,IF(A56,6,IF(A55,5,IF(A54,4,IF(A53,3,IF(A52,2,IF(A51,1,"error")))))))))))</f>
        <v>11</v>
      </c>
    </row>
    <row r="67" spans="1:8" x14ac:dyDescent="0.25">
      <c r="A67" s="39"/>
      <c r="B67" s="44">
        <f>INDEX(C51:C61,IF(A51,1,IF(A52,2,IF(A53,3,IF(A54,4,IF(A565,5,IF(A56,6,IF(A57,7,IF(A58,8,IF(A59,9,IF(A60,10,IF(A61,11,"Error"))))))))))))+(C28+D62)/(INDEX(C35:C45,IF(A61,11,IF(A60,10,IF(A59,9,IF(A58,8,IF(A57,7,IF(A56,6,IF(A55,5,IF(A54,4,IF(A53,3,IF(A52,2,IF(A51,1,"Error"))))))))))))-INDEX(C35:C45,IF(A51,1,IF(A52,2,IF(A53,3,IF(A54,4,IF(A55,5,IF(A56,6,IF(A57,7,IF(A58,8,IF(A59,9,IF(A60,10,IF(A61,11,"Error")))))))))))))</f>
        <v>0</v>
      </c>
      <c r="C67" s="558" t="str">
        <f>CONCATENATE("Change ",INDEX(A35:A45,IF(A51,1,IF(A52,2,IF(A53,3,IF(A54,4,IF(A55,5,IF(A56,6,IF(A57,7,IF(A58,8,IF(A59,9,IF(A60,10,IF(A61,11,"Error"))))))))))),1)," to this:")</f>
        <v>Change Nose Slugs to this:</v>
      </c>
      <c r="D67" s="558"/>
      <c r="E67" s="559"/>
      <c r="F67" s="52" t="s">
        <v>77</v>
      </c>
    </row>
    <row r="68" spans="1:8" ht="13" thickBot="1" x14ac:dyDescent="0.3">
      <c r="A68" s="49"/>
      <c r="B68" s="65">
        <f>INDEX(C51:C61,IF(A61,11,IF(A60,10,IF(A59,9,IF(A58,8,IF(A57,7,IF(A56,6,IF(A55,5,IF(A54,4,IF(A53,3,IF(A52,2,IF(A51,1,"Error"))))))))))))-(C28+D62)/(INDEX(C51:C61,IF(A61,11,IF(A60,10,IF(A59,9,IF(A58,8,IF(A57,7,IF(A56,6,IF(A55,5,IF(A54,4,IF(A53,3,IF(A52,2,IF(A51,1,"Error"))))))))))))-INDEX(C35:C45,IF(A51,1,IF(A52,2,IF(A53,3,IF(A54,4,IF(A55,5,IF(A56,6,IF(A57,7,IF(A58,8,IF(A59,9,IF(A60,10,IF(A61,11,"Error")))))))))))))</f>
        <v>0</v>
      </c>
      <c r="C68" s="560" t="str">
        <f>CONCATENATE("Change ",INDEX(A35:A45,IF(A61,11,IF(A60,10,IF(A59,9,IF(A58,8,IF(A57,7,IF(A56,6,IF(A55,5,IF(A54,4,IF(A53,3,IF(A52,2,IF(A51,1,"error"))))))))))),1)," to this:")</f>
        <v>Change Thruster Slugs  to this:</v>
      </c>
      <c r="D68" s="560"/>
      <c r="E68" s="561"/>
      <c r="F68" s="52" t="s">
        <v>78</v>
      </c>
    </row>
    <row r="69" spans="1:8" x14ac:dyDescent="0.25">
      <c r="A69" s="28"/>
      <c r="B69" s="44"/>
      <c r="C69" s="64"/>
      <c r="D69" s="28"/>
      <c r="E69" s="28"/>
      <c r="F69" s="28"/>
    </row>
    <row r="70" spans="1:8" ht="15" customHeight="1" x14ac:dyDescent="0.25">
      <c r="A70" s="28"/>
      <c r="B70" s="44"/>
      <c r="C70" s="64"/>
      <c r="D70" s="275"/>
      <c r="E70" s="28"/>
      <c r="F70" s="28"/>
    </row>
    <row r="71" spans="1:8" s="4" customFormat="1" ht="2.25" hidden="1" customHeight="1" x14ac:dyDescent="0.25">
      <c r="A71" s="1"/>
      <c r="B71" s="1"/>
      <c r="C71" s="1"/>
      <c r="D71" s="1"/>
      <c r="E71" s="1"/>
      <c r="F71" s="1"/>
    </row>
    <row r="72" spans="1:8" s="4" customFormat="1" ht="38.25" customHeight="1" x14ac:dyDescent="0.25">
      <c r="A72" s="31" t="s">
        <v>75</v>
      </c>
      <c r="B72" s="27"/>
      <c r="C72" s="27"/>
      <c r="D72" s="27"/>
      <c r="E72" s="27"/>
      <c r="F72" s="67"/>
    </row>
    <row r="73" spans="1:8" s="4" customFormat="1" ht="18" customHeight="1" x14ac:dyDescent="0.3">
      <c r="A73" s="548" t="s">
        <v>76</v>
      </c>
      <c r="B73" s="552"/>
      <c r="C73" s="552"/>
      <c r="D73" s="552"/>
      <c r="E73" s="68"/>
      <c r="F73" s="69"/>
    </row>
    <row r="74" spans="1:8" s="4" customFormat="1" ht="51.65" customHeight="1" x14ac:dyDescent="0.25">
      <c r="A74" s="543" t="s">
        <v>160</v>
      </c>
      <c r="B74" s="552"/>
      <c r="C74" s="552"/>
      <c r="D74" s="552"/>
      <c r="E74" s="325"/>
      <c r="F74" s="324"/>
    </row>
    <row r="75" spans="1:8" s="4" customFormat="1" ht="54.65" customHeight="1" x14ac:dyDescent="0.25">
      <c r="A75" s="543" t="s">
        <v>161</v>
      </c>
      <c r="B75" s="552"/>
      <c r="C75" s="552"/>
      <c r="D75" s="552"/>
      <c r="E75" s="325"/>
      <c r="F75" s="324"/>
    </row>
    <row r="76" spans="1:8" s="4" customFormat="1" ht="52.9" customHeight="1" x14ac:dyDescent="0.25">
      <c r="A76" s="543" t="s">
        <v>162</v>
      </c>
      <c r="B76" s="552"/>
      <c r="C76" s="552"/>
      <c r="D76" s="552"/>
      <c r="E76" s="325"/>
      <c r="F76" s="324"/>
    </row>
    <row r="77" spans="1:8" s="4" customFormat="1" ht="109.15" customHeight="1" x14ac:dyDescent="0.25">
      <c r="A77" s="543" t="s">
        <v>163</v>
      </c>
      <c r="B77" s="552"/>
      <c r="C77" s="552"/>
      <c r="D77" s="552"/>
      <c r="E77" s="325"/>
      <c r="F77" s="324"/>
    </row>
    <row r="78" spans="1:8" ht="43.9" customHeight="1" x14ac:dyDescent="0.25">
      <c r="A78" s="543" t="s">
        <v>164</v>
      </c>
      <c r="B78" s="552"/>
      <c r="C78" s="552"/>
      <c r="D78" s="552"/>
      <c r="E78" s="71"/>
      <c r="F78" s="324"/>
    </row>
    <row r="79" spans="1:8" s="27" customFormat="1" ht="30" customHeight="1" x14ac:dyDescent="0.25">
      <c r="A79" s="544" t="s">
        <v>79</v>
      </c>
      <c r="B79" s="553"/>
      <c r="C79" s="553"/>
      <c r="D79" s="553"/>
      <c r="E79" s="28"/>
      <c r="F79" s="52"/>
    </row>
    <row r="80" spans="1:8" s="70" customFormat="1" ht="13.9" customHeight="1" x14ac:dyDescent="0.25">
      <c r="A80" s="28"/>
      <c r="B80" s="28"/>
      <c r="C80" s="72"/>
      <c r="D80" s="44"/>
      <c r="E80" s="28"/>
      <c r="F80" s="52"/>
    </row>
    <row r="81" spans="1:15" s="325" customFormat="1" ht="37.15" customHeight="1" x14ac:dyDescent="0.25">
      <c r="A81" s="28" t="s">
        <v>83</v>
      </c>
      <c r="B81" s="28"/>
      <c r="C81" s="72"/>
      <c r="D81" s="44"/>
      <c r="E81" s="28"/>
      <c r="F81" s="52"/>
    </row>
    <row r="82" spans="1:15" s="325" customFormat="1" ht="13.9" customHeight="1" x14ac:dyDescent="0.25">
      <c r="A82" s="25"/>
      <c r="B82" s="25"/>
      <c r="C82" s="25"/>
      <c r="D82" s="25"/>
      <c r="E82" s="25"/>
      <c r="F82" s="25"/>
      <c r="H82" s="71"/>
      <c r="I82" s="71"/>
      <c r="J82" s="71"/>
      <c r="K82" s="71"/>
      <c r="L82" s="71"/>
      <c r="M82" s="71"/>
      <c r="N82" s="71"/>
      <c r="O82" s="71"/>
    </row>
    <row r="83" spans="1:15" s="325" customFormat="1" ht="16.149999999999999" customHeight="1" x14ac:dyDescent="0.25">
      <c r="A83" s="25"/>
      <c r="B83" s="25"/>
      <c r="C83" s="25"/>
      <c r="D83" s="25"/>
      <c r="E83" s="25"/>
      <c r="F83" s="25"/>
      <c r="H83" s="71"/>
      <c r="I83" s="71"/>
      <c r="J83" s="71"/>
      <c r="K83" s="71"/>
      <c r="L83" s="71"/>
      <c r="M83" s="71"/>
      <c r="N83" s="71"/>
      <c r="O83" s="71"/>
    </row>
    <row r="84" spans="1:15" s="325" customFormat="1" ht="13.9" customHeight="1" x14ac:dyDescent="0.25">
      <c r="A84" s="25"/>
      <c r="B84" s="25"/>
      <c r="C84" s="25"/>
      <c r="D84" s="25"/>
      <c r="E84" s="25"/>
      <c r="F84" s="25"/>
      <c r="H84" s="71"/>
      <c r="I84" s="71"/>
      <c r="J84" s="71"/>
      <c r="K84" s="71"/>
      <c r="L84" s="71"/>
      <c r="M84" s="71"/>
      <c r="N84" s="71"/>
      <c r="O84" s="71"/>
    </row>
    <row r="85" spans="1:15" s="325" customFormat="1" ht="13.9" customHeight="1" x14ac:dyDescent="0.25">
      <c r="A85" s="25"/>
      <c r="B85" s="25"/>
      <c r="C85" s="25"/>
      <c r="D85" s="25"/>
      <c r="E85" s="25"/>
      <c r="F85" s="25"/>
      <c r="H85" s="71"/>
      <c r="I85" s="71"/>
      <c r="J85" s="71"/>
      <c r="K85" s="71"/>
      <c r="L85" s="71"/>
      <c r="M85" s="71"/>
      <c r="N85" s="71"/>
      <c r="O85" s="71"/>
    </row>
    <row r="86" spans="1:15" ht="15" customHeight="1" x14ac:dyDescent="0.25">
      <c r="G86" s="28"/>
      <c r="H86" s="28"/>
      <c r="I86" s="28"/>
      <c r="J86" s="28"/>
      <c r="K86" s="28"/>
      <c r="L86" s="28"/>
      <c r="M86" s="28"/>
      <c r="N86" s="28"/>
      <c r="O86" s="28"/>
    </row>
    <row r="87" spans="1:15" x14ac:dyDescent="0.25">
      <c r="G87" s="28"/>
      <c r="H87" s="28"/>
      <c r="I87" s="28"/>
      <c r="J87" s="28"/>
      <c r="K87" s="28"/>
      <c r="L87" s="28"/>
      <c r="M87" s="28"/>
      <c r="N87" s="28"/>
      <c r="O87" s="28"/>
    </row>
    <row r="88" spans="1:15" x14ac:dyDescent="0.25">
      <c r="G88" s="28"/>
      <c r="H88" s="28"/>
      <c r="I88" s="28"/>
      <c r="J88" s="28"/>
      <c r="K88" s="28"/>
      <c r="L88" s="28"/>
      <c r="M88" s="28"/>
      <c r="N88" s="28"/>
      <c r="O88" s="28"/>
    </row>
  </sheetData>
  <mergeCells count="14">
    <mergeCell ref="C7:C8"/>
    <mergeCell ref="A10:D13"/>
    <mergeCell ref="A79:D79"/>
    <mergeCell ref="A15:D15"/>
    <mergeCell ref="C65:E65"/>
    <mergeCell ref="C66:E66"/>
    <mergeCell ref="C67:E67"/>
    <mergeCell ref="C68:E68"/>
    <mergeCell ref="A73:D73"/>
    <mergeCell ref="A74:D74"/>
    <mergeCell ref="A75:D75"/>
    <mergeCell ref="A76:D76"/>
    <mergeCell ref="A77:D77"/>
    <mergeCell ref="A78:D78"/>
  </mergeCells>
  <conditionalFormatting sqref="B36:B45">
    <cfRule type="cellIs" dxfId="1" priority="1" operator="greaterThan">
      <formula>9999</formula>
    </cfRule>
  </conditionalFormatting>
  <pageMargins left="0.75" right="0.75" top="1" bottom="1" header="0.5" footer="0.5"/>
  <pageSetup scale="65" orientation="portrait" r:id="rId1"/>
  <headerFooter alignWithMargins="0">
    <oddHeader xml:space="preserve">&amp;C&amp;F&amp;L
</oddHeader>
    <oddFooter xml:space="preserve">&amp;C&amp;A&amp;L
</oddFooter>
  </headerFooter>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pageSetUpPr fitToPage="1"/>
  </sheetPr>
  <dimension ref="A1:O72"/>
  <sheetViews>
    <sheetView zoomScaleNormal="100" workbookViewId="0">
      <selection activeCell="F15" sqref="F15"/>
    </sheetView>
  </sheetViews>
  <sheetFormatPr defaultColWidth="9.1796875" defaultRowHeight="12.5" x14ac:dyDescent="0.25"/>
  <cols>
    <col min="1" max="1" width="31.1796875" style="25" customWidth="1"/>
    <col min="2" max="2" width="28.453125" style="25" customWidth="1"/>
    <col min="3" max="3" width="23.26953125" style="25" customWidth="1"/>
    <col min="4" max="4" width="14.1796875" style="25" customWidth="1"/>
    <col min="5" max="5" width="33.81640625" style="25" customWidth="1"/>
    <col min="6" max="6" width="54.54296875" style="25" customWidth="1"/>
    <col min="7" max="7" width="9.1796875" style="25"/>
    <col min="8" max="8" width="9.1796875" style="25" customWidth="1"/>
    <col min="9" max="16384" width="9.1796875" style="25"/>
  </cols>
  <sheetData>
    <row r="1" spans="1:11" customFormat="1" ht="20.25" customHeight="1" x14ac:dyDescent="0.25">
      <c r="A1" s="25"/>
      <c r="B1" s="25"/>
      <c r="C1" s="78"/>
      <c r="D1" s="158" t="s">
        <v>145</v>
      </c>
      <c r="E1" s="159" t="str">
        <f>Ballast!$I$1</f>
        <v>4095-GBPSH</v>
      </c>
    </row>
    <row r="2" spans="1:11" customFormat="1" ht="20.25" customHeight="1" x14ac:dyDescent="0.25">
      <c r="A2" s="25"/>
      <c r="B2" s="25"/>
      <c r="C2" s="78"/>
      <c r="D2" s="160" t="s">
        <v>146</v>
      </c>
      <c r="E2" s="161" t="str">
        <f>Ballast!$I$2</f>
        <v>H</v>
      </c>
    </row>
    <row r="3" spans="1:11" customFormat="1" ht="20.25" customHeight="1" x14ac:dyDescent="0.25">
      <c r="A3" s="25"/>
      <c r="B3" s="25"/>
      <c r="C3" s="78"/>
      <c r="D3" s="160" t="s">
        <v>1</v>
      </c>
      <c r="E3" s="162">
        <f>Ballast!$I$3</f>
        <v>44888</v>
      </c>
    </row>
    <row r="4" spans="1:11" customFormat="1" ht="20.25" customHeight="1" thickBot="1" x14ac:dyDescent="0.3">
      <c r="A4" s="25"/>
      <c r="B4" s="25"/>
      <c r="C4" s="78"/>
      <c r="D4" s="163" t="s">
        <v>147</v>
      </c>
      <c r="E4" s="164">
        <f>Ballast!$I$4</f>
        <v>14841</v>
      </c>
    </row>
    <row r="5" spans="1:11" customFormat="1" ht="15" customHeight="1" thickBot="1" x14ac:dyDescent="0.3">
      <c r="A5" s="25"/>
      <c r="B5" s="25"/>
      <c r="C5" s="78"/>
      <c r="D5" s="78"/>
      <c r="E5" s="78"/>
    </row>
    <row r="6" spans="1:11" customFormat="1" ht="6.75" customHeight="1" thickTop="1" thickBot="1" x14ac:dyDescent="0.3">
      <c r="A6" s="195"/>
      <c r="B6" s="195"/>
      <c r="C6" s="168"/>
      <c r="D6" s="168"/>
      <c r="E6" s="168"/>
    </row>
    <row r="7" spans="1:11" ht="13" x14ac:dyDescent="0.3">
      <c r="A7" s="155" t="s">
        <v>34</v>
      </c>
      <c r="B7" s="375" t="str">
        <f>IF(ISBLANK(Ballast!D15),"",Ballast!D15)</f>
        <v>amlr05</v>
      </c>
      <c r="C7" s="550" t="str">
        <f>IF(Ballast!D18=Constants!B15,"",IF(Ballast!D18=Constants!B16,"",IF(Ballast!D18=Constants!B17,"","Wrong Generation Glider Selected")))</f>
        <v/>
      </c>
      <c r="D7" s="78"/>
      <c r="E7" s="78"/>
      <c r="F7" s="31"/>
    </row>
    <row r="8" spans="1:11" ht="14.25" customHeight="1" thickBot="1" x14ac:dyDescent="0.35">
      <c r="A8" s="156" t="s">
        <v>1</v>
      </c>
      <c r="B8" s="376">
        <f>IF(ISBLANK(Ballast!D17),"",Ballast!D17)</f>
        <v>46293</v>
      </c>
      <c r="C8" s="550"/>
      <c r="D8" s="78"/>
      <c r="E8" s="78"/>
      <c r="F8" s="31"/>
    </row>
    <row r="9" spans="1:11" ht="18" customHeight="1" x14ac:dyDescent="0.25">
      <c r="A9" s="379"/>
      <c r="B9" s="379"/>
      <c r="C9" s="379"/>
      <c r="D9" s="379"/>
      <c r="F9" s="31"/>
      <c r="G9" s="312" t="s">
        <v>202</v>
      </c>
      <c r="H9" s="312" t="s">
        <v>203</v>
      </c>
    </row>
    <row r="10" spans="1:11" ht="24.65" customHeight="1" x14ac:dyDescent="0.25">
      <c r="A10" s="551" t="str">
        <f>VLOOKUP(Constants!B104, Constants!B101:E102, 4, FALSE)</f>
        <v>Picture 3</v>
      </c>
      <c r="B10" s="551"/>
      <c r="C10" s="551"/>
      <c r="D10" s="551"/>
      <c r="E10" s="78"/>
      <c r="F10" s="31"/>
      <c r="G10" s="312" t="s">
        <v>206</v>
      </c>
      <c r="H10" s="312" t="s">
        <v>204</v>
      </c>
    </row>
    <row r="11" spans="1:11" ht="28.9" customHeight="1" x14ac:dyDescent="0.25">
      <c r="A11" s="551"/>
      <c r="B11" s="551"/>
      <c r="C11" s="551"/>
      <c r="D11" s="551"/>
      <c r="E11" s="318"/>
      <c r="F11" s="31"/>
      <c r="G11" s="312" t="s">
        <v>207</v>
      </c>
      <c r="H11" s="312" t="s">
        <v>205</v>
      </c>
    </row>
    <row r="12" spans="1:11" ht="29.5" customHeight="1" x14ac:dyDescent="0.25">
      <c r="A12" s="551"/>
      <c r="B12" s="551"/>
      <c r="C12" s="551"/>
      <c r="D12" s="551"/>
      <c r="E12" s="78"/>
      <c r="F12" s="31"/>
    </row>
    <row r="13" spans="1:11" ht="19.899999999999999" customHeight="1" x14ac:dyDescent="0.25">
      <c r="A13" s="551"/>
      <c r="B13" s="551"/>
      <c r="C13" s="551"/>
      <c r="D13" s="551"/>
      <c r="E13" s="78"/>
      <c r="F13" s="31"/>
    </row>
    <row r="14" spans="1:11" ht="15" customHeight="1" x14ac:dyDescent="0.25">
      <c r="A14" s="379"/>
      <c r="B14" s="379"/>
      <c r="C14" s="379"/>
      <c r="D14" s="379"/>
      <c r="E14" s="78"/>
      <c r="F14" s="31"/>
    </row>
    <row r="15" spans="1:11" ht="13" x14ac:dyDescent="0.3">
      <c r="A15" s="547" t="s">
        <v>154</v>
      </c>
      <c r="B15" s="547"/>
      <c r="C15" s="547"/>
      <c r="D15" s="547"/>
      <c r="E15" s="78"/>
      <c r="F15" s="31"/>
    </row>
    <row r="16" spans="1:11" ht="13" thickBot="1" x14ac:dyDescent="0.3">
      <c r="A16" s="32"/>
      <c r="C16" s="78"/>
      <c r="D16" s="78"/>
      <c r="E16" s="78"/>
      <c r="F16" s="31"/>
      <c r="J16" s="312"/>
      <c r="K16" s="312"/>
    </row>
    <row r="17" spans="1:11" ht="13" x14ac:dyDescent="0.3">
      <c r="A17" s="33" t="s">
        <v>55</v>
      </c>
      <c r="B17" s="34"/>
      <c r="C17" s="169"/>
      <c r="D17" s="170"/>
      <c r="E17" s="78"/>
      <c r="F17" s="31"/>
      <c r="J17" s="312"/>
      <c r="K17" s="312"/>
    </row>
    <row r="18" spans="1:11" ht="13" x14ac:dyDescent="0.3">
      <c r="A18" s="36"/>
      <c r="B18" s="37" t="s">
        <v>44</v>
      </c>
      <c r="C18" s="73">
        <v>0</v>
      </c>
      <c r="D18" s="38" t="s">
        <v>8</v>
      </c>
      <c r="E18" s="322" t="str">
        <f>IF(C18&gt;5000,"Error: scale reading too high",IF(C18&lt;0,"Error: scale reading should be positive",""))</f>
        <v/>
      </c>
      <c r="F18" s="31"/>
      <c r="J18" s="312"/>
      <c r="K18" s="312"/>
    </row>
    <row r="19" spans="1:11" ht="13" x14ac:dyDescent="0.3">
      <c r="A19" s="39"/>
      <c r="B19" s="40" t="s">
        <v>45</v>
      </c>
      <c r="C19" s="73">
        <v>0</v>
      </c>
      <c r="D19" s="38" t="s">
        <v>8</v>
      </c>
      <c r="E19" s="322" t="str">
        <f>IF(C19&gt;5000,"Error: scale reading too high",IF(C19&lt;0,"Error: scale reading should be positive",""))</f>
        <v/>
      </c>
      <c r="F19" s="31"/>
      <c r="J19" s="312"/>
      <c r="K19" s="312"/>
    </row>
    <row r="20" spans="1:11" x14ac:dyDescent="0.25">
      <c r="A20" s="39"/>
      <c r="B20" s="40" t="s">
        <v>46</v>
      </c>
      <c r="C20" s="175">
        <f>Ballast!H46</f>
        <v>-978.46065047594232</v>
      </c>
      <c r="D20" s="38" t="s">
        <v>8</v>
      </c>
      <c r="E20" s="78"/>
      <c r="F20" s="31"/>
    </row>
    <row r="21" spans="1:11" ht="13" x14ac:dyDescent="0.3">
      <c r="A21" s="41"/>
      <c r="B21" s="42" t="str">
        <f>IF((C18+C19-C20)&gt;0,"Total weight to remove:","Total weight to add:")</f>
        <v>Total weight to remove:</v>
      </c>
      <c r="C21" s="177">
        <f>ABS(C18+C19-C20)</f>
        <v>978.46065047594232</v>
      </c>
      <c r="D21" s="43" t="s">
        <v>8</v>
      </c>
      <c r="E21" s="78"/>
      <c r="F21" s="31"/>
    </row>
    <row r="22" spans="1:11" x14ac:dyDescent="0.25">
      <c r="A22" s="174"/>
      <c r="B22" s="178"/>
      <c r="C22" s="179"/>
      <c r="D22" s="38"/>
      <c r="E22" s="78"/>
      <c r="F22" s="31"/>
    </row>
    <row r="23" spans="1:11" x14ac:dyDescent="0.25">
      <c r="A23" s="174"/>
      <c r="B23" s="45" t="s">
        <v>43</v>
      </c>
      <c r="C23" s="46" t="s">
        <v>47</v>
      </c>
      <c r="D23" s="38"/>
      <c r="E23" s="78"/>
      <c r="F23" s="31"/>
    </row>
    <row r="24" spans="1:11" x14ac:dyDescent="0.25">
      <c r="A24" s="174"/>
      <c r="B24" s="47" t="s">
        <v>60</v>
      </c>
      <c r="C24" s="47" t="s">
        <v>60</v>
      </c>
      <c r="D24" s="38"/>
      <c r="E24" s="78"/>
      <c r="F24" s="31"/>
    </row>
    <row r="25" spans="1:11" x14ac:dyDescent="0.25">
      <c r="A25" s="48" t="s">
        <v>211</v>
      </c>
      <c r="B25" s="201">
        <v>1</v>
      </c>
      <c r="C25" s="180">
        <f>B25-$C$31</f>
        <v>-33.757180087086716</v>
      </c>
      <c r="D25" s="38"/>
      <c r="E25" s="25" t="str">
        <f>IF(B25&lt;-10,"Error: Check scale position",IF(B25&gt;30, "Error, check scale position",""))</f>
        <v/>
      </c>
      <c r="F25" s="31"/>
    </row>
    <row r="26" spans="1:11" x14ac:dyDescent="0.25">
      <c r="A26" s="48" t="s">
        <v>212</v>
      </c>
      <c r="B26" s="201">
        <f>Constants!C96-1</f>
        <v>65.024360174173438</v>
      </c>
      <c r="C26" s="180">
        <f>B26-$C$31</f>
        <v>30.267180087086722</v>
      </c>
      <c r="D26" s="38"/>
      <c r="E26" s="25" t="str">
        <f>IF(B26&lt;20,"Error: Check scale position",IF(B26&gt;70, "Error, check scale position",""))</f>
        <v/>
      </c>
      <c r="F26" s="31"/>
    </row>
    <row r="27" spans="1:11" x14ac:dyDescent="0.25">
      <c r="A27" s="39"/>
      <c r="B27" s="27"/>
      <c r="C27" s="178"/>
      <c r="D27" s="38"/>
      <c r="E27" s="78"/>
      <c r="F27" s="31"/>
    </row>
    <row r="28" spans="1:11" ht="13.5" thickBot="1" x14ac:dyDescent="0.35">
      <c r="A28" s="49"/>
      <c r="B28" s="50" t="s">
        <v>68</v>
      </c>
      <c r="C28" s="167">
        <f>(C18*C25)+(C19*C26)</f>
        <v>0</v>
      </c>
      <c r="D28" s="51" t="s">
        <v>35</v>
      </c>
      <c r="E28" s="78"/>
      <c r="F28" s="31"/>
    </row>
    <row r="29" spans="1:11" ht="13" thickBot="1" x14ac:dyDescent="0.3">
      <c r="A29" s="178"/>
      <c r="B29" s="183"/>
      <c r="C29" s="178"/>
      <c r="D29" s="178"/>
      <c r="E29" s="178"/>
      <c r="F29" s="52" t="s">
        <v>74</v>
      </c>
    </row>
    <row r="30" spans="1:11" ht="13" x14ac:dyDescent="0.3">
      <c r="A30" s="53" t="s">
        <v>41</v>
      </c>
      <c r="B30" s="169"/>
      <c r="C30" s="169"/>
      <c r="D30" s="170"/>
      <c r="E30" s="178"/>
      <c r="F30" s="31" t="s">
        <v>56</v>
      </c>
    </row>
    <row r="31" spans="1:11" ht="25" x14ac:dyDescent="0.25">
      <c r="A31" s="39"/>
      <c r="B31" s="54" t="s">
        <v>40</v>
      </c>
      <c r="C31" s="74">
        <f>Constants!E96</f>
        <v>34.757180087086716</v>
      </c>
      <c r="D31" s="184"/>
      <c r="E31" s="178"/>
      <c r="F31" s="31" t="s">
        <v>42</v>
      </c>
    </row>
    <row r="32" spans="1:11" ht="25.5" thickBot="1" x14ac:dyDescent="0.3">
      <c r="A32" s="39"/>
      <c r="B32" s="178"/>
      <c r="C32" s="178"/>
      <c r="D32" s="172"/>
      <c r="E32" s="178"/>
      <c r="F32" s="31" t="s">
        <v>62</v>
      </c>
    </row>
    <row r="33" spans="1:6" ht="25" x14ac:dyDescent="0.25">
      <c r="A33" s="55" t="s">
        <v>210</v>
      </c>
      <c r="B33" s="55" t="s">
        <v>213</v>
      </c>
      <c r="C33" s="55" t="s">
        <v>61</v>
      </c>
      <c r="D33" s="172"/>
      <c r="E33" s="178"/>
      <c r="F33" s="31" t="s">
        <v>80</v>
      </c>
    </row>
    <row r="34" spans="1:6" ht="13" thickBot="1" x14ac:dyDescent="0.3">
      <c r="A34" s="56"/>
      <c r="B34" s="56" t="s">
        <v>60</v>
      </c>
      <c r="C34" s="56" t="s">
        <v>60</v>
      </c>
      <c r="D34" s="172"/>
      <c r="E34" s="178"/>
      <c r="F34" s="31" t="s">
        <v>81</v>
      </c>
    </row>
    <row r="35" spans="1:6" x14ac:dyDescent="0.25">
      <c r="A35" s="386" t="s">
        <v>308</v>
      </c>
      <c r="B35" s="427">
        <v>-4.55</v>
      </c>
      <c r="C35" s="424">
        <f>B35-C$31</f>
        <v>-39.307180087086714</v>
      </c>
      <c r="D35" s="172"/>
      <c r="E35" s="178"/>
      <c r="F35" s="31"/>
    </row>
    <row r="36" spans="1:6" x14ac:dyDescent="0.25">
      <c r="A36" s="384" t="s">
        <v>309</v>
      </c>
      <c r="B36" s="422">
        <f>IF(Ballast!D22&lt;&gt;"None",IF(Ballast!D22&lt;&gt;"None",Constants!C92,#N/A)+Constants!C92,Constants!C92)+0.5*Constants!C94</f>
        <v>44.847405519207136</v>
      </c>
      <c r="C36" s="425">
        <f t="shared" ref="C36" si="0">B36-C$31</f>
        <v>10.09022543212042</v>
      </c>
      <c r="D36" s="172"/>
      <c r="E36" s="178"/>
      <c r="F36" s="31"/>
    </row>
    <row r="37" spans="1:6" ht="13" thickBot="1" x14ac:dyDescent="0.3">
      <c r="A37" s="385" t="s">
        <v>310</v>
      </c>
      <c r="B37" s="423">
        <f>13.6818+Constants!C93+Constants!C94+IF(Ballast!D22&lt;&gt;"None",IF(Ballast!D22&lt;&gt;"None",Constants!C92,#N/A)+Constants!C92,Constants!C92)</f>
        <v>85.056592443966906</v>
      </c>
      <c r="C37" s="426">
        <f>B37-C$31</f>
        <v>50.29941235688019</v>
      </c>
      <c r="D37" s="185"/>
      <c r="E37" s="178"/>
      <c r="F37" s="31"/>
    </row>
    <row r="38" spans="1:6" ht="13" thickBot="1" x14ac:dyDescent="0.3">
      <c r="B38" s="78"/>
      <c r="C38" s="78"/>
      <c r="D38" s="78"/>
      <c r="E38" s="78"/>
      <c r="F38" s="31"/>
    </row>
    <row r="39" spans="1:6" ht="17.5" customHeight="1" x14ac:dyDescent="0.3">
      <c r="A39" s="53" t="s">
        <v>209</v>
      </c>
      <c r="B39" s="169"/>
      <c r="C39" s="169"/>
      <c r="D39" s="170"/>
      <c r="E39" s="78"/>
      <c r="F39" s="31"/>
    </row>
    <row r="40" spans="1:6" ht="1.9" customHeight="1" thickBot="1" x14ac:dyDescent="0.3">
      <c r="A40" s="39"/>
      <c r="B40" s="178"/>
      <c r="C40" s="178"/>
      <c r="D40" s="172"/>
      <c r="E40" s="78"/>
      <c r="F40" s="31"/>
    </row>
    <row r="41" spans="1:6" ht="25" x14ac:dyDescent="0.25">
      <c r="A41" s="55" t="s">
        <v>69</v>
      </c>
      <c r="B41" s="55" t="s">
        <v>53</v>
      </c>
      <c r="C41" s="456" t="s">
        <v>312</v>
      </c>
      <c r="D41" s="154" t="s">
        <v>222</v>
      </c>
      <c r="E41" s="190" t="s">
        <v>82</v>
      </c>
      <c r="F41" s="31"/>
    </row>
    <row r="42" spans="1:6" ht="13" thickBot="1" x14ac:dyDescent="0.3">
      <c r="A42" s="58" t="s">
        <v>70</v>
      </c>
      <c r="B42" s="56"/>
      <c r="C42" s="59"/>
      <c r="D42" s="58" t="s">
        <v>59</v>
      </c>
      <c r="E42" s="191" t="s">
        <v>214</v>
      </c>
      <c r="F42" s="31"/>
    </row>
    <row r="43" spans="1:6" x14ac:dyDescent="0.25">
      <c r="A43" s="75">
        <v>1</v>
      </c>
      <c r="B43" s="35" t="str">
        <f>A35</f>
        <v>External Nose Slug</v>
      </c>
      <c r="C43" s="457">
        <v>0</v>
      </c>
      <c r="D43" s="458">
        <f>C43*12.5*C35</f>
        <v>0</v>
      </c>
      <c r="E43" s="387"/>
      <c r="F43" s="31"/>
    </row>
    <row r="44" spans="1:6" ht="13" x14ac:dyDescent="0.25">
      <c r="A44" s="76">
        <v>1</v>
      </c>
      <c r="B44" s="38" t="str">
        <f>A36</f>
        <v>External Wing Rail Slugs</v>
      </c>
      <c r="C44" s="76">
        <v>0</v>
      </c>
      <c r="D44" s="390">
        <f>C36*12.5*C44</f>
        <v>0</v>
      </c>
      <c r="E44" s="80"/>
      <c r="F44" s="82" t="str">
        <f t="shared" ref="F44:F46" si="1">IF(ABS(C44)&gt;5000,"Error: Weight adjustment too high","")</f>
        <v/>
      </c>
    </row>
    <row r="45" spans="1:6" ht="13.5" thickBot="1" x14ac:dyDescent="0.3">
      <c r="A45" s="77">
        <v>1</v>
      </c>
      <c r="B45" s="57" t="str">
        <f>A37</f>
        <v>External Thruster Slugs</v>
      </c>
      <c r="C45" s="77">
        <v>0</v>
      </c>
      <c r="D45" s="391">
        <f>C45*12.5*C37</f>
        <v>0</v>
      </c>
      <c r="E45" s="178"/>
      <c r="F45" s="82" t="str">
        <f t="shared" si="1"/>
        <v/>
      </c>
    </row>
    <row r="46" spans="1:6" ht="13.5" thickBot="1" x14ac:dyDescent="0.35">
      <c r="A46" s="182"/>
      <c r="B46" s="188"/>
      <c r="C46" s="167">
        <f>SUM(C43:C45)</f>
        <v>0</v>
      </c>
      <c r="D46" s="189">
        <f>SUMIF(D43:D45,"&lt;&gt;#N/A")</f>
        <v>0</v>
      </c>
      <c r="E46" s="78"/>
      <c r="F46" s="82" t="str">
        <f t="shared" si="1"/>
        <v/>
      </c>
    </row>
    <row r="47" spans="1:6" ht="27" customHeight="1" thickBot="1" x14ac:dyDescent="0.3">
      <c r="A47" s="78"/>
      <c r="B47" s="78"/>
      <c r="C47" s="78"/>
      <c r="D47" s="78"/>
      <c r="E47" s="78"/>
      <c r="F47" s="31"/>
    </row>
    <row r="48" spans="1:6" ht="13.5" thickBot="1" x14ac:dyDescent="0.35">
      <c r="A48" s="381" t="s">
        <v>215</v>
      </c>
      <c r="B48" s="382"/>
      <c r="C48" s="382"/>
      <c r="D48" s="382"/>
      <c r="E48" s="383"/>
      <c r="F48" s="61"/>
    </row>
    <row r="49" spans="1:8" ht="13" x14ac:dyDescent="0.3">
      <c r="A49" s="39"/>
      <c r="B49" s="62">
        <f>ROUND(ABS(((C18+C19-C20)/12.5)+C46),0)</f>
        <v>78</v>
      </c>
      <c r="C49" s="554" t="str">
        <f>IF((((C18+C19-C20)/12.5)+C46)&gt;=0,"Additional external slugs need to be removed", "Additional external slugs need to be added")</f>
        <v>Additional external slugs need to be removed</v>
      </c>
      <c r="D49" s="554"/>
      <c r="E49" s="555"/>
      <c r="F49" s="52"/>
      <c r="H49" s="25">
        <f>IF(A43,1,IF(A44,2,IF(A45,3,"Error")))</f>
        <v>1</v>
      </c>
    </row>
    <row r="50" spans="1:8" x14ac:dyDescent="0.25">
      <c r="A50" s="39"/>
      <c r="B50" s="44">
        <f>ROUND(ABS(((C28+D46))/((INDEX(C35:C37,IF(A45,3,IF(A44,2,IF(A43,1,"error")))))-(INDEX(C35:C37,IF(A43,1,IF(A44,2,IF(A45,3,"Error")))))))/12.5,0)</f>
        <v>0</v>
      </c>
      <c r="C50" s="556" t="str">
        <f>CONCATENATE("External slugs need to move from ",IF((C28+D46)&lt;=0,INDEX(A35:A37,H49,1),INDEX(A35:A37,H50,1))," to ",IF((C28+D46)&lt;=0,INDEX(A35:A37,H50,1),INDEX(A35:A37,H49,1)))</f>
        <v>External slugs need to move from External Nose Slug to External Thruster Slugs</v>
      </c>
      <c r="D50" s="556"/>
      <c r="E50" s="557"/>
      <c r="F50" s="52"/>
      <c r="H50" s="25">
        <f>IF(A45,3,IF(A44,2,IF(A43,1,"error")))</f>
        <v>3</v>
      </c>
    </row>
    <row r="51" spans="1:8" ht="18" customHeight="1" x14ac:dyDescent="0.25">
      <c r="A51" s="39"/>
      <c r="B51" s="44">
        <f>ROUND((((INDEX(C43:C45,IF(A43,1,IF(A44,2,IF(A45,3,"Error")))))*12.5)+((C28+D46)/(INDEX(C35:C37,IF(A45,3,IF(A44,2,IF(A43,1,"Error"))))-INDEX(C35:C37,IF(A43,1,IF(A44,2,IF(A45,3,"Error")))))))/12.5,0)</f>
        <v>0</v>
      </c>
      <c r="C51" s="558" t="str">
        <f>CONCATENATE("Change ",INDEX(A35:A37,IF(A43,1,IF(A44,2,IF(A45,3,"Error"))),1)," to this:")</f>
        <v>Change External Nose Slug to this:</v>
      </c>
      <c r="D51" s="558"/>
      <c r="E51" s="559"/>
      <c r="F51" s="52" t="s">
        <v>77</v>
      </c>
    </row>
    <row r="52" spans="1:8" ht="13.15" customHeight="1" thickBot="1" x14ac:dyDescent="0.3">
      <c r="A52" s="49"/>
      <c r="B52" s="65">
        <f>ROUND(((INDEX(C43:C45,IF(A45,3,IF(A44,2,IF(A43,1,"Error"))))*12.5)-((C28+D46)/(INDEX(C43:C45,IF(A45,3,IF(A44,2,IF(A43,1,"Error"))))-INDEX(C35:C37,IF(A43,1,IF(A44,2,IF(A45,3,"Error")))))))/12.5,0)</f>
        <v>0</v>
      </c>
      <c r="C52" s="560" t="str">
        <f>CONCATENATE("Change ",INDEX(A35:A37,IF(A45,3,IF(A44,2,IF(A43,1,"error"))),1)," to this:")</f>
        <v>Change External Thruster Slugs to this:</v>
      </c>
      <c r="D52" s="560"/>
      <c r="E52" s="561"/>
      <c r="F52" s="52" t="s">
        <v>78</v>
      </c>
    </row>
    <row r="53" spans="1:8" x14ac:dyDescent="0.25">
      <c r="A53" s="28"/>
      <c r="B53" s="44">
        <f>C21-ROUND(C21,0)</f>
        <v>0.46065047594231601</v>
      </c>
      <c r="C53" s="431" t="s">
        <v>311</v>
      </c>
      <c r="D53" s="28"/>
      <c r="E53" s="28"/>
      <c r="F53" s="28"/>
    </row>
    <row r="54" spans="1:8" ht="15" customHeight="1" x14ac:dyDescent="0.25">
      <c r="A54" s="28"/>
      <c r="B54" s="44"/>
      <c r="C54" s="431"/>
      <c r="D54" s="275"/>
      <c r="E54" s="28"/>
      <c r="F54" s="28"/>
    </row>
    <row r="55" spans="1:8" s="4" customFormat="1" ht="2.25" hidden="1" customHeight="1" x14ac:dyDescent="0.25">
      <c r="A55" s="1"/>
      <c r="B55" s="1"/>
      <c r="C55" s="1"/>
      <c r="D55" s="1"/>
      <c r="E55" s="1"/>
      <c r="F55" s="1"/>
    </row>
    <row r="56" spans="1:8" s="4" customFormat="1" ht="38.25" customHeight="1" x14ac:dyDescent="0.25">
      <c r="A56" s="31" t="s">
        <v>75</v>
      </c>
      <c r="B56" s="27"/>
      <c r="C56" s="27"/>
      <c r="D56" s="27"/>
      <c r="E56" s="27"/>
      <c r="F56" s="67"/>
    </row>
    <row r="57" spans="1:8" s="4" customFormat="1" ht="18" customHeight="1" x14ac:dyDescent="0.3">
      <c r="A57" s="548" t="s">
        <v>76</v>
      </c>
      <c r="B57" s="552"/>
      <c r="C57" s="552"/>
      <c r="D57" s="552"/>
      <c r="E57" s="68"/>
      <c r="F57" s="69"/>
    </row>
    <row r="58" spans="1:8" s="4" customFormat="1" ht="51.65" customHeight="1" x14ac:dyDescent="0.25">
      <c r="A58" s="543" t="s">
        <v>160</v>
      </c>
      <c r="B58" s="552"/>
      <c r="C58" s="552"/>
      <c r="D58" s="552"/>
      <c r="E58" s="430"/>
      <c r="F58" s="429"/>
    </row>
    <row r="59" spans="1:8" s="4" customFormat="1" ht="54.65" customHeight="1" x14ac:dyDescent="0.25">
      <c r="A59" s="543" t="s">
        <v>161</v>
      </c>
      <c r="B59" s="552"/>
      <c r="C59" s="552"/>
      <c r="D59" s="552"/>
      <c r="E59" s="430"/>
      <c r="F59" s="429"/>
    </row>
    <row r="60" spans="1:8" s="4" customFormat="1" ht="52.9" customHeight="1" x14ac:dyDescent="0.25">
      <c r="A60" s="543" t="s">
        <v>162</v>
      </c>
      <c r="B60" s="552"/>
      <c r="C60" s="552"/>
      <c r="D60" s="552"/>
      <c r="E60" s="430"/>
      <c r="F60" s="429"/>
    </row>
    <row r="61" spans="1:8" s="4" customFormat="1" ht="109.15" customHeight="1" x14ac:dyDescent="0.25">
      <c r="A61" s="543" t="s">
        <v>163</v>
      </c>
      <c r="B61" s="552"/>
      <c r="C61" s="552"/>
      <c r="D61" s="552"/>
      <c r="E61" s="430"/>
      <c r="F61" s="429"/>
    </row>
    <row r="62" spans="1:8" ht="43.9" customHeight="1" x14ac:dyDescent="0.25">
      <c r="A62" s="543" t="s">
        <v>164</v>
      </c>
      <c r="B62" s="552"/>
      <c r="C62" s="552"/>
      <c r="D62" s="552"/>
      <c r="E62" s="71"/>
      <c r="F62" s="429"/>
    </row>
    <row r="63" spans="1:8" s="27" customFormat="1" ht="30" customHeight="1" x14ac:dyDescent="0.25">
      <c r="A63" s="544" t="s">
        <v>79</v>
      </c>
      <c r="B63" s="553"/>
      <c r="C63" s="553"/>
      <c r="D63" s="553"/>
      <c r="E63" s="28"/>
      <c r="F63" s="52"/>
    </row>
    <row r="64" spans="1:8" s="70" customFormat="1" ht="13.9" customHeight="1" x14ac:dyDescent="0.25">
      <c r="A64" s="28"/>
      <c r="B64" s="28"/>
      <c r="C64" s="72"/>
      <c r="D64" s="44"/>
      <c r="E64" s="28"/>
      <c r="F64" s="52"/>
    </row>
    <row r="65" spans="1:15" s="430" customFormat="1" ht="37.15" customHeight="1" x14ac:dyDescent="0.25">
      <c r="A65" s="28" t="s">
        <v>83</v>
      </c>
      <c r="B65" s="28"/>
      <c r="C65" s="72"/>
      <c r="D65" s="44"/>
      <c r="E65" s="28"/>
      <c r="F65" s="52"/>
    </row>
    <row r="66" spans="1:15" s="430" customFormat="1" ht="13.9" customHeight="1" x14ac:dyDescent="0.25">
      <c r="A66" s="25"/>
      <c r="B66" s="25"/>
      <c r="C66" s="25"/>
      <c r="D66" s="25"/>
      <c r="E66" s="25"/>
      <c r="F66" s="25"/>
      <c r="H66" s="71"/>
      <c r="I66" s="71"/>
      <c r="J66" s="71"/>
      <c r="K66" s="71"/>
      <c r="L66" s="71"/>
      <c r="M66" s="71"/>
      <c r="N66" s="71"/>
      <c r="O66" s="71"/>
    </row>
    <row r="67" spans="1:15" s="430" customFormat="1" ht="16.149999999999999" customHeight="1" x14ac:dyDescent="0.25">
      <c r="A67" s="25"/>
      <c r="B67" s="25"/>
      <c r="C67" s="25"/>
      <c r="D67" s="25"/>
      <c r="E67" s="25"/>
      <c r="F67" s="25"/>
      <c r="H67" s="71"/>
      <c r="I67" s="71"/>
      <c r="J67" s="71"/>
      <c r="K67" s="71"/>
      <c r="L67" s="71"/>
      <c r="M67" s="71"/>
      <c r="N67" s="71"/>
      <c r="O67" s="71"/>
    </row>
    <row r="68" spans="1:15" s="430" customFormat="1" ht="13.9" customHeight="1" x14ac:dyDescent="0.25">
      <c r="A68" s="25"/>
      <c r="B68" s="25"/>
      <c r="C68" s="25"/>
      <c r="D68" s="25"/>
      <c r="E68" s="25"/>
      <c r="F68" s="25"/>
      <c r="H68" s="71"/>
      <c r="I68" s="71"/>
      <c r="J68" s="71"/>
      <c r="K68" s="71"/>
      <c r="L68" s="71"/>
      <c r="M68" s="71"/>
      <c r="N68" s="71"/>
      <c r="O68" s="71"/>
    </row>
    <row r="69" spans="1:15" s="430" customFormat="1" ht="13.9" customHeight="1" x14ac:dyDescent="0.25">
      <c r="A69" s="25"/>
      <c r="B69" s="25"/>
      <c r="C69" s="25"/>
      <c r="D69" s="25"/>
      <c r="E69" s="25"/>
      <c r="F69" s="25"/>
      <c r="H69" s="71"/>
      <c r="I69" s="71"/>
      <c r="J69" s="71"/>
      <c r="K69" s="71"/>
      <c r="L69" s="71"/>
      <c r="M69" s="71"/>
      <c r="N69" s="71"/>
      <c r="O69" s="71"/>
    </row>
    <row r="70" spans="1:15" ht="15" customHeight="1" x14ac:dyDescent="0.25">
      <c r="G70" s="28"/>
      <c r="H70" s="28"/>
      <c r="I70" s="28"/>
      <c r="J70" s="28"/>
      <c r="K70" s="28"/>
      <c r="L70" s="28"/>
      <c r="M70" s="28"/>
      <c r="N70" s="28"/>
      <c r="O70" s="28"/>
    </row>
    <row r="71" spans="1:15" x14ac:dyDescent="0.25">
      <c r="G71" s="28"/>
      <c r="H71" s="28"/>
      <c r="I71" s="28"/>
      <c r="J71" s="28"/>
      <c r="K71" s="28"/>
      <c r="L71" s="28"/>
      <c r="M71" s="28"/>
      <c r="N71" s="28"/>
      <c r="O71" s="28"/>
    </row>
    <row r="72" spans="1:15" x14ac:dyDescent="0.25">
      <c r="G72" s="28"/>
      <c r="H72" s="28"/>
      <c r="I72" s="28"/>
      <c r="J72" s="28"/>
      <c r="K72" s="28"/>
      <c r="L72" s="28"/>
      <c r="M72" s="28"/>
      <c r="N72" s="28"/>
      <c r="O72" s="28"/>
    </row>
  </sheetData>
  <mergeCells count="14">
    <mergeCell ref="C51:E51"/>
    <mergeCell ref="C7:C8"/>
    <mergeCell ref="A10:D13"/>
    <mergeCell ref="A15:D15"/>
    <mergeCell ref="C49:E49"/>
    <mergeCell ref="C50:E50"/>
    <mergeCell ref="A62:D62"/>
    <mergeCell ref="A63:D63"/>
    <mergeCell ref="C52:E52"/>
    <mergeCell ref="A57:D57"/>
    <mergeCell ref="A58:D58"/>
    <mergeCell ref="A59:D59"/>
    <mergeCell ref="A60:D60"/>
    <mergeCell ref="A61:D61"/>
  </mergeCells>
  <conditionalFormatting sqref="B36:B37">
    <cfRule type="cellIs" dxfId="0" priority="1" operator="greaterThan">
      <formula>9999</formula>
    </cfRule>
  </conditionalFormatting>
  <pageMargins left="0.75" right="0.75" top="1" bottom="1" header="0.5" footer="0.5"/>
  <pageSetup scale="69" orientation="portrait" r:id="rId1"/>
  <headerFooter alignWithMargins="0">
    <oddHeader xml:space="preserve">&amp;C&amp;F&amp;L
</oddHeader>
    <oddFooter xml:space="preserve">&amp;C&amp;A&amp;L
</oddFooter>
  </headerFooter>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D7"/>
  <sheetViews>
    <sheetView workbookViewId="0">
      <selection activeCell="C6" sqref="C6"/>
    </sheetView>
  </sheetViews>
  <sheetFormatPr defaultRowHeight="12.5" x14ac:dyDescent="0.25"/>
  <cols>
    <col min="1" max="1" width="6.1796875" bestFit="1" customWidth="1"/>
    <col min="2" max="2" width="86.453125" customWidth="1"/>
    <col min="3" max="3" width="8.1796875" bestFit="1" customWidth="1"/>
    <col min="4" max="4" width="9" bestFit="1" customWidth="1"/>
  </cols>
  <sheetData>
    <row r="1" spans="1:4" ht="18.5" thickBot="1" x14ac:dyDescent="0.3">
      <c r="A1" s="562" t="s">
        <v>181</v>
      </c>
      <c r="B1" s="563"/>
      <c r="C1" s="563"/>
      <c r="D1" s="564"/>
    </row>
    <row r="2" spans="1:4" ht="15.5" x14ac:dyDescent="0.25">
      <c r="A2" s="284" t="s">
        <v>182</v>
      </c>
      <c r="B2" s="285" t="s">
        <v>183</v>
      </c>
      <c r="C2" s="285" t="s">
        <v>184</v>
      </c>
      <c r="D2" s="286" t="s">
        <v>185</v>
      </c>
    </row>
    <row r="3" spans="1:4" ht="28" x14ac:dyDescent="0.25">
      <c r="A3" s="471" t="s">
        <v>178</v>
      </c>
      <c r="B3" s="472" t="s">
        <v>201</v>
      </c>
      <c r="C3" s="473">
        <v>12698</v>
      </c>
      <c r="D3" s="474">
        <v>41813</v>
      </c>
    </row>
    <row r="4" spans="1:4" ht="14" x14ac:dyDescent="0.25">
      <c r="A4" s="471" t="s">
        <v>325</v>
      </c>
      <c r="B4" s="475" t="s">
        <v>326</v>
      </c>
      <c r="C4" s="473">
        <v>13994</v>
      </c>
      <c r="D4" s="474">
        <v>43298</v>
      </c>
    </row>
    <row r="5" spans="1:4" ht="28" x14ac:dyDescent="0.25">
      <c r="A5" s="287" t="s">
        <v>320</v>
      </c>
      <c r="B5" s="298" t="s">
        <v>327</v>
      </c>
      <c r="C5" s="288">
        <v>14841</v>
      </c>
      <c r="D5" s="289">
        <v>44888</v>
      </c>
    </row>
    <row r="6" spans="1:4" ht="14" x14ac:dyDescent="0.25">
      <c r="A6" s="287"/>
      <c r="B6" s="298"/>
      <c r="C6" s="288"/>
      <c r="D6" s="321"/>
    </row>
    <row r="7" spans="1:4" ht="14.5" thickBot="1" x14ac:dyDescent="0.3">
      <c r="A7" s="290"/>
      <c r="B7" s="291"/>
      <c r="C7" s="292"/>
      <c r="D7" s="293"/>
    </row>
  </sheetData>
  <mergeCells count="1">
    <mergeCell ref="A1:D1"/>
  </mergeCells>
  <pageMargins left="0.7" right="0.7" top="0.75" bottom="0.75" header="0.3" footer="0.3"/>
  <pageSetup scale="77" orientation="portrait" verticalDpi="90" r:id="rId1"/>
  <headerFooter>
    <oddHeader xml:space="preserve">&amp;C&amp;F&amp;L
</oddHeader>
    <oddFooter xml:space="preserve">&amp;C&amp;A&amp;L
</odd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xml version="1.0" encoding="utf-8"?>
<titus xmlns="http://schemas.titus.com/TitusProperties/">
  <TitusGUID xmlns="">d3697d27-387f-4719-9090-0407a278819d</TitusGUID>
  <TitusMetadata xmlns="">eyJucyI6Imh0dHA6XC9cL3d3dy50aXR1cy5jb21cL25zXC9GTElSIiwicHJvcHMiOlt7Im4iOiJFQ0lEYXRhIiwidmFscyI6W3sidmFsdWUiOiJOTyJ9XX0seyJuIjoiSW5jbHVkZUZvb3RlciIsInZhbHMiOlt7InZhbHVlIjoiTm8ifV19LHsibiI6Ik5vbkVDSU1hcmtpbmciLCJ2YWxzIjpbXX0seyJuIjoiUHVibGljUmVsZWFzZSIsInZhbHMiOltdfSx7Im4iOiJSZWZOdW1iZXIiLCJ2YWxzIjpbXX0seyJuIjoiU2VjdXJpdHlSZXZpZXdObyIsInZhbHMiOltdfSx7Im4iOiJFQ0lKdXJpcyIsInZhbHMiOltdfSx7Im4iOiJFQ0lJVEFSQ2xhc3MiLCJ2YWxzIjpbXX0seyJuIjoiRUNJRUFSQ2xhc3MiLCJ2YWxzIjpbXX0seyJuIjoibm9uVVNDb3VudHJ5IiwidmFscyI6W119LHsibiI6Im5vblVTRUNJSnVyaXMiLCJ2YWxzIjpbXX0seyJuIjoiVW5yZXNDb21wRXh0IiwidmFscyI6W3sidmFsdWUiOiJZRVMifV19LHsibiI6IkNvbXBTZW5zIiwidmFscyI6W3sidmFsdWUiOiJOTyJ9XX0seyJuIjoiSW5jbHVkZUNvbXBTZW5zTWFya2luZyIsInZhbHMiOltdfSx7Im4iOiJDb25mTGVnUHJpIiwidmFscyI6W3sidmFsdWUiOiJOTyJ9XX0seyJuIjoiUElJRGF0YSIsInZhbHMiOlt7InZhbHVlIjoiTk8ifV19LHsibiI6IkNVSURhdGEiLCJ2YWxzIjpbeyJ2YWx1ZSI6Ik5PIn1dfSx7Im4iOiJJbmNsdWRlQ1VJTWFya2luZyIsInZhbHMiOltdfSx7Im4iOiJDVUlDYXRlZ29yeSIsInZhbHMiOltdfSx7Im4iOiJEaXNzZW1pbmF0aW9uIiwidmFscyI6W119LHsibiI6IlJlbFRvIiwidmFscyI6W119LHsibiI6IkRpc3BsYXlPbmx5IiwidmFscyI6W119LHsibiI6IkNvbnRyb2xsZWRCeSIsInZhbHMiOltdfSx7Im4iOiJDb250cm9sbGVkQnkyIiwidmFscyI6W119LHsibiI6IkNvbnRhY3RJbmZvIiwidmFscyI6W119XX0=</TitusMetadata>
</titus>
</file>

<file path=customXml/itemProps1.xml><?xml version="1.0" encoding="utf-8"?>
<ds:datastoreItem xmlns:ds="http://schemas.openxmlformats.org/officeDocument/2006/customXml" ds:itemID="{2310E16D-6E7F-4B4D-BA9B-74E6E7A63D3E}">
  <ds:schemaRefs>
    <ds:schemaRef ds:uri="http://schemas.titus.com/TitusProperties/"/>
    <ds:schemaRef ds:uri=""/>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38</vt:i4>
      </vt:variant>
    </vt:vector>
  </HeadingPairs>
  <TitlesOfParts>
    <vt:vector size="47" baseType="lpstr">
      <vt:lpstr>Ballast</vt:lpstr>
      <vt:lpstr>Worksheet</vt:lpstr>
      <vt:lpstr>Notes</vt:lpstr>
      <vt:lpstr>Constants</vt:lpstr>
      <vt:lpstr>G1</vt:lpstr>
      <vt:lpstr>G2</vt:lpstr>
      <vt:lpstr>G3</vt:lpstr>
      <vt:lpstr>G3 (External Only)</vt:lpstr>
      <vt:lpstr>Revision History</vt:lpstr>
      <vt:lpstr>Advanced</vt:lpstr>
      <vt:lpstr>'G2'!aft_config</vt:lpstr>
      <vt:lpstr>'G3'!aft_config</vt:lpstr>
      <vt:lpstr>'G3 (External Only)'!aft_config</vt:lpstr>
      <vt:lpstr>aft_config</vt:lpstr>
      <vt:lpstr>'G2'!battery_type</vt:lpstr>
      <vt:lpstr>'G3'!battery_type</vt:lpstr>
      <vt:lpstr>'G3 (External Only)'!battery_type</vt:lpstr>
      <vt:lpstr>battery_type</vt:lpstr>
      <vt:lpstr>Bays</vt:lpstr>
      <vt:lpstr>ES_Shallow__100m</vt:lpstr>
      <vt:lpstr>G2_Deep__1000m</vt:lpstr>
      <vt:lpstr>G3_Deep</vt:lpstr>
      <vt:lpstr>G3_Shallow</vt:lpstr>
      <vt:lpstr>G3_UHD</vt:lpstr>
      <vt:lpstr>glider_type</vt:lpstr>
      <vt:lpstr>'G2'!nose_config</vt:lpstr>
      <vt:lpstr>'G3'!nose_config</vt:lpstr>
      <vt:lpstr>'G3 (External Only)'!nose_config</vt:lpstr>
      <vt:lpstr>nose_config</vt:lpstr>
      <vt:lpstr>Constants!Pick_Point</vt:lpstr>
      <vt:lpstr>Pinger</vt:lpstr>
      <vt:lpstr>pinger_style</vt:lpstr>
      <vt:lpstr>Pinger_Weights</vt:lpstr>
      <vt:lpstr>pond_weights</vt:lpstr>
      <vt:lpstr>Ballast!Print_Area</vt:lpstr>
      <vt:lpstr>Constants!Print_Area</vt:lpstr>
      <vt:lpstr>'G1'!Print_Area</vt:lpstr>
      <vt:lpstr>'G2'!Print_Area</vt:lpstr>
      <vt:lpstr>'G3'!Print_Area</vt:lpstr>
      <vt:lpstr>'G3 (External Only)'!Print_Area</vt:lpstr>
      <vt:lpstr>'Revision History'!Print_Area</vt:lpstr>
      <vt:lpstr>Worksheet!Print_Area</vt:lpstr>
      <vt:lpstr>Ballast!Print_Titles</vt:lpstr>
      <vt:lpstr>Constants!Print_Titles</vt:lpstr>
      <vt:lpstr>Thruster</vt:lpstr>
      <vt:lpstr>Volumes</vt:lpstr>
      <vt:lpstr>weight_type</vt:lpstr>
    </vt:vector>
  </TitlesOfParts>
  <Company>Webb Reseach Corporation</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GLIDER BALLASTING SPREADSHEET</dc:title>
  <dc:subject>GLIDER</dc:subject>
  <dc:creator>bhurley</dc:creator>
  <cp:lastModifiedBy>Big Bird</cp:lastModifiedBy>
  <cp:lastPrinted>2022-11-23T15:30:21Z</cp:lastPrinted>
  <dcterms:created xsi:type="dcterms:W3CDTF">2004-03-12T20:33:34Z</dcterms:created>
  <dcterms:modified xsi:type="dcterms:W3CDTF">2026-10-20T22:19:06Z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ProjectNumber">
    <vt:lpwstr>
    </vt:lpwstr>
  </property>
  <property fmtid="{D5CDD505-2E9C-101B-9397-08002B2CF9AE}" pid="3" name="Project Name">
    <vt:lpwstr>
    </vt:lpwstr>
  </property>
  <property fmtid="{D5CDD505-2E9C-101B-9397-08002B2CF9AE}" pid="4" name="Revision">
    <vt:lpwstr>H</vt:lpwstr>
  </property>
  <property fmtid="{D5CDD505-2E9C-101B-9397-08002B2CF9AE}" pid="5" name="Document Number">
    <vt:lpwstr>4095-GBPSH</vt:lpwstr>
  </property>
  <property fmtid="{D5CDD505-2E9C-101B-9397-08002B2CF9AE}" pid="6" name="Date">
    <vt:filetime>2011-02-23T05:00:00Z</vt:filetime>
  </property>
  <property fmtid="{D5CDD505-2E9C-101B-9397-08002B2CF9AE}" pid="7" name="MSIP_Label_0d178f3f-9d62-4d87-b8af-200399509a39_Enabled">
    <vt:lpwstr>true</vt:lpwstr>
  </property>
  <property fmtid="{D5CDD505-2E9C-101B-9397-08002B2CF9AE}" pid="8" name="MSIP_Label_0d178f3f-9d62-4d87-b8af-200399509a39_SetDate">
    <vt:lpwstr>2023-02-01T21:01:48Z</vt:lpwstr>
  </property>
  <property fmtid="{D5CDD505-2E9C-101B-9397-08002B2CF9AE}" pid="9" name="MSIP_Label_0d178f3f-9d62-4d87-b8af-200399509a39_Method">
    <vt:lpwstr>Standard</vt:lpwstr>
  </property>
  <property fmtid="{D5CDD505-2E9C-101B-9397-08002B2CF9AE}" pid="10" name="MSIP_Label_0d178f3f-9d62-4d87-b8af-200399509a39_Name">
    <vt:lpwstr>Company Sensitive</vt:lpwstr>
  </property>
  <property fmtid="{D5CDD505-2E9C-101B-9397-08002B2CF9AE}" pid="11" name="MSIP_Label_0d178f3f-9d62-4d87-b8af-200399509a39_SiteId">
    <vt:lpwstr>e324592a-2653-45c7-9bfc-597c36917127</vt:lpwstr>
  </property>
  <property fmtid="{D5CDD505-2E9C-101B-9397-08002B2CF9AE}" pid="12" name="MSIP_Label_0d178f3f-9d62-4d87-b8af-200399509a39_ActionId">
    <vt:lpwstr>d4412391-48bd-4668-a853-1eac629411e8</vt:lpwstr>
  </property>
  <property fmtid="{D5CDD505-2E9C-101B-9397-08002B2CF9AE}" pid="13" name="MSIP_Label_0d178f3f-9d62-4d87-b8af-200399509a39_ContentBits">
    <vt:lpwstr>2</vt:lpwstr>
  </property>
  <property fmtid="{D5CDD505-2E9C-101B-9397-08002B2CF9AE}" pid="14" name="TitusGUID">
    <vt:lpwstr>d3697d27-387f-4719-9090-0407a278819d</vt:lpwstr>
  </property>
  <property fmtid="{D5CDD505-2E9C-101B-9397-08002B2CF9AE}" pid="15" name="ECIData">
    <vt:lpwstr>NO</vt:lpwstr>
  </property>
  <property fmtid="{D5CDD505-2E9C-101B-9397-08002B2CF9AE}" pid="16" name="IncludeFooter">
    <vt:lpwstr>No</vt:lpwstr>
  </property>
  <property fmtid="{D5CDD505-2E9C-101B-9397-08002B2CF9AE}" pid="17" name="UnresCompExt">
    <vt:lpwstr>YES</vt:lpwstr>
  </property>
  <property fmtid="{D5CDD505-2E9C-101B-9397-08002B2CF9AE}" pid="18" name="CompSens">
    <vt:lpwstr>NO</vt:lpwstr>
  </property>
  <property fmtid="{D5CDD505-2E9C-101B-9397-08002B2CF9AE}" pid="19" name="ConfLegPri">
    <vt:lpwstr>NO</vt:lpwstr>
  </property>
  <property fmtid="{D5CDD505-2E9C-101B-9397-08002B2CF9AE}" pid="20" name="PIIData">
    <vt:lpwstr>NO</vt:lpwstr>
  </property>
  <property fmtid="{D5CDD505-2E9C-101B-9397-08002B2CF9AE}" pid="21" name="CUIData">
    <vt:lpwstr>NO</vt:lpwstr>
  </property>
</Properties>
</file>